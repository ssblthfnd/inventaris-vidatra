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1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747E8D8-3EA4-49F4-AE11-456F66515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3 ELEKTRONIK" sheetId="5" r:id="rId1"/>
  </sheets>
  <definedNames>
    <definedName name="_xlnm.Print_Titles" localSheetId="0">'03 ELEKTRONIK'!$12:$13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5" l="1"/>
  <c r="B120" i="5"/>
  <c r="C119" i="5"/>
  <c r="B119" i="5"/>
  <c r="C118" i="5"/>
  <c r="B118" i="5"/>
  <c r="C117" i="5"/>
  <c r="B117" i="5"/>
  <c r="C116" i="5"/>
  <c r="B116" i="5"/>
  <c r="C115" i="5"/>
  <c r="B115" i="5"/>
  <c r="C174" i="5" l="1"/>
  <c r="B174" i="5"/>
  <c r="C173" i="5" l="1"/>
  <c r="B173" i="5"/>
  <c r="C245" i="5"/>
  <c r="B245" i="5"/>
  <c r="C244" i="5"/>
  <c r="B244" i="5"/>
  <c r="C243" i="5"/>
  <c r="B243" i="5"/>
  <c r="C169" i="5" l="1"/>
  <c r="B169" i="5"/>
  <c r="A187" i="5"/>
  <c r="C93" i="5"/>
  <c r="B93" i="5"/>
  <c r="C92" i="5" l="1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51" i="5" l="1"/>
  <c r="B51" i="5"/>
  <c r="C50" i="5"/>
  <c r="B50" i="5"/>
  <c r="C48" i="5"/>
  <c r="B48" i="5"/>
  <c r="B49" i="5"/>
  <c r="C49" i="5"/>
  <c r="C47" i="5"/>
  <c r="B47" i="5"/>
  <c r="F38" i="5"/>
  <c r="C38" i="5"/>
  <c r="B38" i="5"/>
  <c r="C64" i="5"/>
  <c r="B64" i="5"/>
  <c r="C172" i="5" l="1"/>
  <c r="B172" i="5"/>
  <c r="F155" i="5" l="1"/>
  <c r="C155" i="5"/>
  <c r="B155" i="5"/>
  <c r="F154" i="5" l="1"/>
  <c r="C154" i="5"/>
  <c r="B154" i="5"/>
  <c r="F153" i="5"/>
  <c r="C153" i="5"/>
  <c r="B153" i="5"/>
  <c r="F152" i="5"/>
  <c r="C152" i="5"/>
  <c r="B152" i="5"/>
  <c r="F151" i="5"/>
  <c r="C151" i="5"/>
  <c r="B151" i="5"/>
  <c r="F150" i="5"/>
  <c r="C150" i="5"/>
  <c r="B150" i="5"/>
  <c r="F149" i="5"/>
  <c r="C149" i="5"/>
  <c r="B149" i="5"/>
  <c r="C46" i="5" l="1"/>
  <c r="B46" i="5"/>
  <c r="C45" i="5"/>
  <c r="B45" i="5"/>
  <c r="C44" i="5"/>
  <c r="B44" i="5"/>
  <c r="C43" i="5"/>
  <c r="B43" i="5"/>
  <c r="A43" i="5"/>
  <c r="A44" i="5" s="1"/>
  <c r="A45" i="5" s="1"/>
  <c r="A46" i="5" s="1"/>
  <c r="A47" i="5" s="1"/>
  <c r="C42" i="5"/>
  <c r="B42" i="5"/>
  <c r="C41" i="5"/>
  <c r="B41" i="5"/>
  <c r="A48" i="5" l="1"/>
  <c r="A49" i="5" s="1"/>
  <c r="A50" i="5" s="1"/>
  <c r="A51" i="5" s="1"/>
  <c r="C168" i="5"/>
  <c r="B168" i="5"/>
  <c r="C225" i="5" l="1"/>
  <c r="B225" i="5"/>
  <c r="C167" i="5"/>
  <c r="B167" i="5"/>
  <c r="F183" i="5"/>
  <c r="C183" i="5"/>
  <c r="B183" i="5"/>
  <c r="C112" i="5"/>
  <c r="B112" i="5"/>
  <c r="C111" i="5"/>
  <c r="B111" i="5"/>
  <c r="C166" i="5" l="1"/>
  <c r="B166" i="5"/>
  <c r="F236" i="5"/>
  <c r="C236" i="5"/>
  <c r="B236" i="5"/>
  <c r="C224" i="5" l="1"/>
  <c r="B224" i="5"/>
  <c r="C165" i="5"/>
  <c r="B165" i="5"/>
  <c r="F137" i="5"/>
  <c r="C137" i="5"/>
  <c r="B137" i="5"/>
  <c r="F136" i="5"/>
  <c r="C136" i="5"/>
  <c r="B136" i="5"/>
  <c r="F135" i="5"/>
  <c r="C135" i="5"/>
  <c r="B135" i="5"/>
  <c r="F182" i="5"/>
  <c r="C182" i="5"/>
  <c r="B182" i="5"/>
  <c r="C63" i="5"/>
  <c r="B63" i="5"/>
  <c r="F181" i="5"/>
  <c r="C181" i="5"/>
  <c r="B181" i="5"/>
  <c r="C110" i="5"/>
  <c r="B110" i="5"/>
  <c r="C109" i="5"/>
  <c r="B109" i="5"/>
  <c r="C223" i="5"/>
  <c r="B223" i="5"/>
  <c r="C164" i="5"/>
  <c r="B164" i="5"/>
  <c r="C40" i="5"/>
  <c r="B40" i="5"/>
  <c r="C39" i="5"/>
  <c r="B39" i="5"/>
  <c r="C85" i="5"/>
  <c r="B85" i="5"/>
  <c r="C84" i="5"/>
  <c r="B84" i="5"/>
  <c r="C242" i="5"/>
  <c r="B242" i="5"/>
  <c r="C163" i="5"/>
  <c r="B163" i="5"/>
  <c r="C162" i="5"/>
  <c r="B162" i="5"/>
  <c r="F180" i="5"/>
  <c r="C180" i="5"/>
  <c r="B180" i="5"/>
  <c r="F134" i="5"/>
  <c r="C134" i="5"/>
  <c r="B134" i="5"/>
  <c r="F133" i="5"/>
  <c r="C133" i="5"/>
  <c r="B133" i="5"/>
  <c r="F132" i="5"/>
  <c r="C132" i="5"/>
  <c r="B132" i="5"/>
  <c r="C161" i="5"/>
  <c r="B161" i="5"/>
  <c r="C83" i="5"/>
  <c r="B83" i="5"/>
  <c r="C222" i="5"/>
  <c r="B222" i="5"/>
  <c r="C221" i="5" l="1"/>
  <c r="B221" i="5"/>
  <c r="F235" i="5"/>
  <c r="C235" i="5"/>
  <c r="B235" i="5"/>
  <c r="C234" i="5"/>
  <c r="B234" i="5"/>
  <c r="C104" i="5" l="1"/>
  <c r="B104" i="5"/>
  <c r="C233" i="5"/>
  <c r="B233" i="5"/>
  <c r="C253" i="5" l="1"/>
  <c r="B253" i="5"/>
  <c r="C252" i="5"/>
  <c r="B252" i="5"/>
  <c r="C251" i="5"/>
  <c r="B251" i="5"/>
  <c r="C220" i="5" l="1"/>
  <c r="B220" i="5"/>
  <c r="F148" i="5"/>
  <c r="C148" i="5"/>
  <c r="B148" i="5"/>
  <c r="F147" i="5"/>
  <c r="C147" i="5"/>
  <c r="B147" i="5"/>
  <c r="F146" i="5"/>
  <c r="C146" i="5"/>
  <c r="B146" i="5"/>
  <c r="F145" i="5"/>
  <c r="C145" i="5"/>
  <c r="B145" i="5"/>
  <c r="F144" i="5"/>
  <c r="C144" i="5"/>
  <c r="B144" i="5"/>
  <c r="F143" i="5"/>
  <c r="C143" i="5"/>
  <c r="B143" i="5"/>
  <c r="C108" i="5"/>
  <c r="B108" i="5"/>
  <c r="C107" i="5"/>
  <c r="B107" i="5"/>
  <c r="F102" i="5"/>
  <c r="C102" i="5"/>
  <c r="B102" i="5"/>
  <c r="B98" i="5"/>
  <c r="C98" i="5"/>
  <c r="F98" i="5"/>
  <c r="F103" i="5"/>
  <c r="C103" i="5"/>
  <c r="B103" i="5"/>
  <c r="F142" i="5"/>
  <c r="C142" i="5"/>
  <c r="B142" i="5"/>
  <c r="F141" i="5"/>
  <c r="C141" i="5"/>
  <c r="B141" i="5"/>
  <c r="F179" i="5"/>
  <c r="C179" i="5"/>
  <c r="B179" i="5"/>
  <c r="C232" i="5"/>
  <c r="B232" i="5"/>
  <c r="F37" i="5" l="1"/>
  <c r="C37" i="5"/>
  <c r="B37" i="5"/>
  <c r="F36" i="5"/>
  <c r="C36" i="5"/>
  <c r="B36" i="5"/>
  <c r="F35" i="5"/>
  <c r="C35" i="5"/>
  <c r="B35" i="5"/>
  <c r="F34" i="5"/>
  <c r="C34" i="5"/>
  <c r="B34" i="5"/>
  <c r="F33" i="5"/>
  <c r="C33" i="5"/>
  <c r="B33" i="5"/>
  <c r="C231" i="5" l="1"/>
  <c r="B231" i="5"/>
  <c r="C230" i="5"/>
  <c r="B230" i="5"/>
  <c r="C160" i="5" l="1"/>
  <c r="B160" i="5"/>
  <c r="C159" i="5"/>
  <c r="B159" i="5"/>
  <c r="C158" i="5"/>
  <c r="B158" i="5"/>
  <c r="C248" i="5"/>
  <c r="B248" i="5"/>
  <c r="F178" i="5"/>
  <c r="C178" i="5"/>
  <c r="B178" i="5"/>
  <c r="C229" i="5"/>
  <c r="B229" i="5"/>
  <c r="C241" i="5"/>
  <c r="B241" i="5"/>
  <c r="F32" i="5"/>
  <c r="C32" i="5"/>
  <c r="B32" i="5"/>
  <c r="F31" i="5"/>
  <c r="C31" i="5"/>
  <c r="B31" i="5"/>
  <c r="F30" i="5"/>
  <c r="C30" i="5"/>
  <c r="B30" i="5"/>
  <c r="F29" i="5"/>
  <c r="C29" i="5"/>
  <c r="B29" i="5"/>
  <c r="F28" i="5" l="1"/>
  <c r="C28" i="5"/>
  <c r="B28" i="5"/>
  <c r="F27" i="5"/>
  <c r="C27" i="5"/>
  <c r="B27" i="5"/>
  <c r="F82" i="5"/>
  <c r="C82" i="5"/>
  <c r="B82" i="5"/>
  <c r="C81" i="5"/>
  <c r="B81" i="5"/>
  <c r="F80" i="5"/>
  <c r="C80" i="5"/>
  <c r="B80" i="5"/>
  <c r="C79" i="5"/>
  <c r="B79" i="5"/>
  <c r="F78" i="5"/>
  <c r="C78" i="5"/>
  <c r="B78" i="5"/>
  <c r="F177" i="5"/>
  <c r="C177" i="5"/>
  <c r="B177" i="5"/>
  <c r="F131" i="5"/>
  <c r="C131" i="5"/>
  <c r="B131" i="5"/>
  <c r="F130" i="5"/>
  <c r="C130" i="5"/>
  <c r="B130" i="5"/>
  <c r="F129" i="5"/>
  <c r="C129" i="5"/>
  <c r="B129" i="5"/>
  <c r="F228" i="5"/>
  <c r="C228" i="5"/>
  <c r="B228" i="5"/>
  <c r="F26" i="5"/>
  <c r="C26" i="5"/>
  <c r="B26" i="5"/>
  <c r="F25" i="5"/>
  <c r="C25" i="5"/>
  <c r="B25" i="5"/>
  <c r="C77" i="5"/>
  <c r="B77" i="5"/>
  <c r="F123" i="5" l="1"/>
  <c r="C123" i="5"/>
  <c r="B123" i="5"/>
  <c r="C62" i="5" l="1"/>
  <c r="B62" i="5"/>
  <c r="F99" i="5" l="1"/>
  <c r="C99" i="5"/>
  <c r="B99" i="5"/>
  <c r="F76" i="5" l="1"/>
  <c r="C76" i="5"/>
  <c r="B76" i="5"/>
  <c r="C61" i="5" l="1"/>
  <c r="B61" i="5"/>
  <c r="C60" i="5"/>
  <c r="B60" i="5"/>
  <c r="C59" i="5"/>
  <c r="B59" i="5"/>
  <c r="F215" i="5"/>
  <c r="C215" i="5"/>
  <c r="B215" i="5"/>
  <c r="F214" i="5"/>
  <c r="C214" i="5"/>
  <c r="B214" i="5"/>
  <c r="C213" i="5" l="1"/>
  <c r="B213" i="5"/>
  <c r="C212" i="5"/>
  <c r="B212" i="5"/>
  <c r="F128" i="5" l="1"/>
  <c r="C128" i="5"/>
  <c r="B128" i="5"/>
  <c r="F127" i="5"/>
  <c r="C127" i="5"/>
  <c r="B127" i="5"/>
  <c r="F217" i="5" l="1"/>
  <c r="C217" i="5"/>
  <c r="B217" i="5"/>
  <c r="F238" i="5" l="1"/>
  <c r="C238" i="5"/>
  <c r="B238" i="5"/>
  <c r="F186" i="5"/>
  <c r="C186" i="5"/>
  <c r="B186" i="5"/>
  <c r="F67" i="5"/>
  <c r="C67" i="5"/>
  <c r="B67" i="5"/>
  <c r="A68" i="5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C75" i="5"/>
  <c r="B75" i="5"/>
  <c r="F74" i="5"/>
  <c r="C74" i="5"/>
  <c r="B74" i="5"/>
  <c r="F73" i="5"/>
  <c r="C73" i="5"/>
  <c r="B73" i="5"/>
  <c r="F72" i="5"/>
  <c r="C72" i="5"/>
  <c r="B72" i="5"/>
  <c r="F71" i="5"/>
  <c r="C71" i="5"/>
  <c r="B71" i="5"/>
  <c r="F70" i="5"/>
  <c r="C70" i="5"/>
  <c r="B70" i="5"/>
  <c r="F69" i="5"/>
  <c r="C69" i="5"/>
  <c r="B69" i="5"/>
  <c r="F68" i="5"/>
  <c r="C68" i="5"/>
  <c r="B68" i="5"/>
  <c r="F24" i="5"/>
  <c r="C24" i="5"/>
  <c r="B24" i="5"/>
  <c r="F23" i="5"/>
  <c r="C23" i="5"/>
  <c r="B23" i="5"/>
  <c r="F22" i="5"/>
  <c r="C22" i="5"/>
  <c r="B22" i="5"/>
  <c r="F21" i="5"/>
  <c r="C21" i="5"/>
  <c r="B21" i="5"/>
  <c r="F20" i="5"/>
  <c r="C20" i="5"/>
  <c r="B20" i="5"/>
  <c r="F19" i="5"/>
  <c r="C19" i="5"/>
  <c r="B19" i="5"/>
  <c r="F18" i="5"/>
  <c r="C18" i="5"/>
  <c r="B18" i="5"/>
  <c r="F17" i="5"/>
  <c r="C17" i="5"/>
  <c r="B17" i="5"/>
  <c r="F16" i="5"/>
  <c r="C16" i="5"/>
  <c r="B16" i="5"/>
  <c r="A16" i="5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F15" i="5"/>
  <c r="C15" i="5"/>
  <c r="B15" i="5"/>
  <c r="A38" i="5" l="1"/>
  <c r="A39" i="5" s="1"/>
  <c r="A40" i="5" s="1"/>
  <c r="C211" i="5"/>
  <c r="B211" i="5"/>
  <c r="C210" i="5"/>
  <c r="B210" i="5"/>
  <c r="C207" i="5" l="1"/>
  <c r="B207" i="5"/>
  <c r="C206" i="5"/>
  <c r="B206" i="5"/>
  <c r="C203" i="5"/>
  <c r="B203" i="5"/>
  <c r="C202" i="5"/>
  <c r="B202" i="5"/>
  <c r="C199" i="5"/>
  <c r="B199" i="5"/>
  <c r="C198" i="5"/>
  <c r="B198" i="5"/>
  <c r="C195" i="5"/>
  <c r="B195" i="5"/>
  <c r="C194" i="5"/>
  <c r="B194" i="5"/>
  <c r="C191" i="5"/>
  <c r="B191" i="5"/>
  <c r="C190" i="5"/>
  <c r="B190" i="5"/>
  <c r="C187" i="5"/>
  <c r="B187" i="5"/>
  <c r="C209" i="5"/>
  <c r="B209" i="5"/>
  <c r="C208" i="5"/>
  <c r="B208" i="5"/>
  <c r="C205" i="5"/>
  <c r="B205" i="5"/>
  <c r="C204" i="5"/>
  <c r="B204" i="5"/>
  <c r="C201" i="5"/>
  <c r="B201" i="5"/>
  <c r="C200" i="5"/>
  <c r="B200" i="5"/>
  <c r="C197" i="5"/>
  <c r="B197" i="5"/>
  <c r="C196" i="5"/>
  <c r="B196" i="5"/>
  <c r="C193" i="5"/>
  <c r="B193" i="5"/>
  <c r="C192" i="5"/>
  <c r="B192" i="5"/>
  <c r="C189" i="5"/>
  <c r="B189" i="5"/>
  <c r="C188" i="5"/>
  <c r="B188" i="5"/>
  <c r="F207" i="5" l="1"/>
  <c r="F206" i="5"/>
  <c r="F205" i="5"/>
  <c r="F204" i="5"/>
  <c r="F209" i="5"/>
  <c r="F208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5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E15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D17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19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2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23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25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27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28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29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0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1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2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3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4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5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6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7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8" authorId="0" shapeId="0" xr:uid="{00000000-0006-0000-0400-00001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39" authorId="0" shapeId="0" xr:uid="{00000000-0006-0000-0400-00001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40" authorId="0" shapeId="0" xr:uid="{00000000-0006-0000-0400-00001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41" authorId="0" shapeId="0" xr:uid="{00000000-0006-0000-0400-00001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42" authorId="0" shapeId="0" xr:uid="{00000000-0006-0000-0400-00001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43" authorId="0" shapeId="0" xr:uid="{00000000-0006-0000-0400-00001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45" authorId="0" shapeId="0" xr:uid="{00000000-0006-0000-0400-00001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46" authorId="0" shapeId="0" xr:uid="{00000000-0006-0000-0400-00001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47" authorId="0" shapeId="0" xr:uid="{00000000-0006-0000-0400-00001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48" authorId="0" shapeId="0" xr:uid="{00000000-0006-0000-0400-00001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49" authorId="0" shapeId="0" xr:uid="{00000000-0006-0000-0400-00002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50" authorId="0" shapeId="0" xr:uid="{00000000-0006-0000-0400-00002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D51" authorId="0" shapeId="0" xr:uid="{00000000-0006-0000-0400-00002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KOMPUTER
</t>
        </r>
      </text>
    </comment>
    <comment ref="B59" authorId="0" shapeId="0" xr:uid="{00000000-0006-0000-0400-00002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59" authorId="0" shapeId="0" xr:uid="{00000000-0006-0000-0400-00002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59" authorId="0" shapeId="0" xr:uid="{00000000-0006-0000-0400-00002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LCD
</t>
        </r>
      </text>
    </comment>
    <comment ref="E59" authorId="0" shapeId="0" xr:uid="{00000000-0006-0000-0400-00002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59" authorId="0" shapeId="0" xr:uid="{00000000-0006-0000-0400-00002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60" authorId="0" shapeId="0" xr:uid="{00000000-0006-0000-0400-00002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0" authorId="0" shapeId="0" xr:uid="{00000000-0006-0000-0400-00002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60" authorId="0" shapeId="0" xr:uid="{00000000-0006-0000-0400-00002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LCD
</t>
        </r>
      </text>
    </comment>
    <comment ref="E60" authorId="0" shapeId="0" xr:uid="{00000000-0006-0000-0400-00002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0" authorId="0" shapeId="0" xr:uid="{00000000-0006-0000-0400-00002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61" authorId="0" shapeId="0" xr:uid="{00000000-0006-0000-0400-00002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1" authorId="0" shapeId="0" xr:uid="{00000000-0006-0000-0400-00002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61" authorId="0" shapeId="0" xr:uid="{00000000-0006-0000-0400-00002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LCD
</t>
        </r>
      </text>
    </comment>
    <comment ref="E61" authorId="0" shapeId="0" xr:uid="{00000000-0006-0000-0400-00003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1" authorId="0" shapeId="0" xr:uid="{00000000-0006-0000-0400-00003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62" authorId="0" shapeId="0" xr:uid="{00000000-0006-0000-0400-00003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2" authorId="0" shapeId="0" xr:uid="{00000000-0006-0000-0400-00003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62" authorId="0" shapeId="0" xr:uid="{00000000-0006-0000-0400-00003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LCD
</t>
        </r>
      </text>
    </comment>
    <comment ref="E62" authorId="0" shapeId="0" xr:uid="{00000000-0006-0000-0400-00003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2" authorId="0" shapeId="0" xr:uid="{00000000-0006-0000-0400-00003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63" authorId="0" shapeId="0" xr:uid="{00000000-0006-0000-0400-00003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3" authorId="0" shapeId="0" xr:uid="{00000000-0006-0000-0400-00003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63" authorId="0" shapeId="0" xr:uid="{00000000-0006-0000-0400-00003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LCD
</t>
        </r>
      </text>
    </comment>
    <comment ref="E63" authorId="0" shapeId="0" xr:uid="{00000000-0006-0000-0400-00003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3" authorId="0" shapeId="0" xr:uid="{00000000-0006-0000-0400-00003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64" authorId="0" shapeId="0" xr:uid="{00000000-0006-0000-0400-00003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4" authorId="0" shapeId="0" xr:uid="{00000000-0006-0000-0400-00003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64" authorId="0" shapeId="0" xr:uid="{00000000-0006-0000-0400-00003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LCD
</t>
        </r>
      </text>
    </comment>
    <comment ref="E64" authorId="0" shapeId="0" xr:uid="{00000000-0006-0000-0400-00003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4" authorId="0" shapeId="0" xr:uid="{00000000-0006-0000-0400-00004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67" authorId="0" shapeId="0" xr:uid="{00000000-0006-0000-0400-00004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67" authorId="0" shapeId="0" xr:uid="{00000000-0006-0000-0400-00004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67" authorId="0" shapeId="0" xr:uid="{00000000-0006-0000-0400-00004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E67" authorId="0" shapeId="0" xr:uid="{00000000-0006-0000-0400-00004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67" authorId="0" shapeId="0" xr:uid="{00000000-0006-0000-0400-00004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D69" authorId="0" shapeId="0" xr:uid="{00000000-0006-0000-0400-00004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71" authorId="0" shapeId="0" xr:uid="{00000000-0006-0000-0400-00004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73" authorId="0" shapeId="0" xr:uid="{00000000-0006-0000-0400-00004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75" authorId="0" shapeId="0" xr:uid="{00000000-0006-0000-0400-00004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77" authorId="0" shapeId="0" xr:uid="{00000000-0006-0000-0400-00004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79" authorId="0" shapeId="0" xr:uid="{00000000-0006-0000-0400-00004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81" authorId="0" shapeId="0" xr:uid="{00000000-0006-0000-0400-00004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83" authorId="0" shapeId="0" xr:uid="{00000000-0006-0000-0400-00004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84" authorId="0" shapeId="0" xr:uid="{00000000-0006-0000-0400-00004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85" authorId="0" shapeId="0" xr:uid="{00000000-0006-0000-0400-00004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86" authorId="0" shapeId="0" xr:uid="{00000000-0006-0000-0400-00005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87" authorId="0" shapeId="0" xr:uid="{00000000-0006-0000-0400-00005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88" authorId="0" shapeId="0" xr:uid="{00000000-0006-0000-0400-00005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89" authorId="0" shapeId="0" xr:uid="{00000000-0006-0000-0400-00005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90" authorId="0" shapeId="0" xr:uid="{00000000-0006-0000-0400-00005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91" authorId="0" shapeId="0" xr:uid="{00000000-0006-0000-0400-00005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92" authorId="0" shapeId="0" xr:uid="{00000000-0006-0000-0400-00005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D93" authorId="0" shapeId="0" xr:uid="{00000000-0006-0000-0400-00005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PRINTER</t>
        </r>
      </text>
    </comment>
    <comment ref="B98" authorId="0" shapeId="0" xr:uid="{00000000-0006-0000-0400-00005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98" authorId="0" shapeId="0" xr:uid="{00000000-0006-0000-0400-00005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98" authorId="0" shapeId="0" xr:uid="{00000000-0006-0000-0400-00005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SCANNER</t>
        </r>
      </text>
    </comment>
    <comment ref="E98" authorId="0" shapeId="0" xr:uid="{00000000-0006-0000-0400-00005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98" authorId="0" shapeId="0" xr:uid="{00000000-0006-0000-0400-00005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99" authorId="0" shapeId="0" xr:uid="{00000000-0006-0000-0400-00005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99" authorId="0" shapeId="0" xr:uid="{00000000-0006-0000-0400-00005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99" authorId="0" shapeId="0" xr:uid="{00000000-0006-0000-0400-00005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SCANNER</t>
        </r>
      </text>
    </comment>
    <comment ref="E99" authorId="0" shapeId="0" xr:uid="{00000000-0006-0000-0400-00006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99" authorId="0" shapeId="0" xr:uid="{00000000-0006-0000-0400-00006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02" authorId="0" shapeId="0" xr:uid="{00000000-0006-0000-0400-00006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02" authorId="0" shapeId="0" xr:uid="{00000000-0006-0000-0400-00006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02" authorId="0" shapeId="0" xr:uid="{00000000-0006-0000-0400-00006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SCANNER</t>
        </r>
      </text>
    </comment>
    <comment ref="E102" authorId="0" shapeId="0" xr:uid="{00000000-0006-0000-0400-00006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02" authorId="0" shapeId="0" xr:uid="{00000000-0006-0000-0400-00006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03" authorId="0" shapeId="0" xr:uid="{00000000-0006-0000-0400-00006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03" authorId="0" shapeId="0" xr:uid="{00000000-0006-0000-0400-00006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03" authorId="0" shapeId="0" xr:uid="{00000000-0006-0000-0400-00006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SCANNER</t>
        </r>
      </text>
    </comment>
    <comment ref="E103" authorId="0" shapeId="0" xr:uid="{00000000-0006-0000-0400-00006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03" authorId="0" shapeId="0" xr:uid="{00000000-0006-0000-0400-00006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04" authorId="0" shapeId="0" xr:uid="{00000000-0006-0000-0400-00006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04" authorId="0" shapeId="0" xr:uid="{00000000-0006-0000-0400-00006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04" authorId="0" shapeId="0" xr:uid="{00000000-0006-0000-0400-00006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SCANNER</t>
        </r>
      </text>
    </comment>
    <comment ref="E104" authorId="0" shapeId="0" xr:uid="{00000000-0006-0000-0400-00006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04" authorId="0" shapeId="0" xr:uid="{00000000-0006-0000-0400-00007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07" authorId="0" shapeId="0" xr:uid="{00000000-0006-0000-0400-00007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07" authorId="0" shapeId="0" xr:uid="{00000000-0006-0000-0400-00007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07" authorId="0" shapeId="0" xr:uid="{00000000-0006-0000-0400-00007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07" authorId="0" shapeId="0" xr:uid="{00000000-0006-0000-0400-00007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07" authorId="0" shapeId="0" xr:uid="{00000000-0006-0000-0400-00007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08" authorId="0" shapeId="0" xr:uid="{00000000-0006-0000-0400-00007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08" authorId="0" shapeId="0" xr:uid="{00000000-0006-0000-0400-00007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08" authorId="0" shapeId="0" xr:uid="{00000000-0006-0000-0400-00007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08" authorId="0" shapeId="0" xr:uid="{00000000-0006-0000-0400-00007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08" authorId="0" shapeId="0" xr:uid="{00000000-0006-0000-0400-00007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09" authorId="0" shapeId="0" xr:uid="{00000000-0006-0000-0400-00007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09" authorId="0" shapeId="0" xr:uid="{00000000-0006-0000-0400-00007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09" authorId="0" shapeId="0" xr:uid="{00000000-0006-0000-0400-00007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09" authorId="0" shapeId="0" xr:uid="{00000000-0006-0000-0400-00007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09" authorId="0" shapeId="0" xr:uid="{00000000-0006-0000-0400-00007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10" authorId="0" shapeId="0" xr:uid="{00000000-0006-0000-0400-00008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10" authorId="0" shapeId="0" xr:uid="{00000000-0006-0000-0400-00008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10" authorId="0" shapeId="0" xr:uid="{00000000-0006-0000-0400-00008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10" authorId="0" shapeId="0" xr:uid="{00000000-0006-0000-0400-00008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10" authorId="0" shapeId="0" xr:uid="{00000000-0006-0000-0400-00008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11" authorId="0" shapeId="0" xr:uid="{00000000-0006-0000-0400-00008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11" authorId="0" shapeId="0" xr:uid="{00000000-0006-0000-0400-00008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11" authorId="0" shapeId="0" xr:uid="{00000000-0006-0000-0400-00008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11" authorId="0" shapeId="0" xr:uid="{00000000-0006-0000-0400-00008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11" authorId="0" shapeId="0" xr:uid="{00000000-0006-0000-0400-00008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12" authorId="0" shapeId="0" xr:uid="{00000000-0006-0000-0400-00008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12" authorId="0" shapeId="0" xr:uid="{00000000-0006-0000-0400-00008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12" authorId="0" shapeId="0" xr:uid="{00000000-0006-0000-0400-00008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12" authorId="0" shapeId="0" xr:uid="{00000000-0006-0000-0400-00008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12" authorId="0" shapeId="0" xr:uid="{00000000-0006-0000-0400-00008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15" authorId="0" shapeId="0" xr:uid="{00000000-0006-0000-0400-00008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15" authorId="0" shapeId="0" xr:uid="{00000000-0006-0000-0400-00009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15" authorId="0" shapeId="0" xr:uid="{00000000-0006-0000-0400-00009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15" authorId="0" shapeId="0" xr:uid="{00000000-0006-0000-0400-00009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15" authorId="0" shapeId="0" xr:uid="{00000000-0006-0000-0400-00009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16" authorId="0" shapeId="0" xr:uid="{00000000-0006-0000-0400-00009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16" authorId="0" shapeId="0" xr:uid="{00000000-0006-0000-0400-00009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16" authorId="0" shapeId="0" xr:uid="{00000000-0006-0000-0400-00009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kamera</t>
        </r>
      </text>
    </comment>
    <comment ref="E116" authorId="0" shapeId="0" xr:uid="{00000000-0006-0000-0400-00009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16" authorId="0" shapeId="0" xr:uid="{00000000-0006-0000-0400-00009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17" authorId="0" shapeId="0" xr:uid="{00000000-0006-0000-0400-00009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17" authorId="0" shapeId="0" xr:uid="{00000000-0006-0000-0400-00009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17" authorId="0" shapeId="0" xr:uid="{00000000-0006-0000-0400-00009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kamera</t>
        </r>
      </text>
    </comment>
    <comment ref="E117" authorId="0" shapeId="0" xr:uid="{00000000-0006-0000-0400-00009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17" authorId="0" shapeId="0" xr:uid="{00000000-0006-0000-0400-00009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18" authorId="0" shapeId="0" xr:uid="{00000000-0006-0000-0400-00009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18" authorId="0" shapeId="0" xr:uid="{00000000-0006-0000-0400-00009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18" authorId="0" shapeId="0" xr:uid="{00000000-0006-0000-0400-0000A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kamera</t>
        </r>
      </text>
    </comment>
    <comment ref="E118" authorId="0" shapeId="0" xr:uid="{00000000-0006-0000-0400-0000A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18" authorId="0" shapeId="0" xr:uid="{00000000-0006-0000-0400-0000A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19" authorId="0" shapeId="0" xr:uid="{00000000-0006-0000-0400-0000A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19" authorId="0" shapeId="0" xr:uid="{00000000-0006-0000-0400-0000A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19" authorId="0" shapeId="0" xr:uid="{00000000-0006-0000-0400-0000A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kamera</t>
        </r>
      </text>
    </comment>
    <comment ref="E119" authorId="0" shapeId="0" xr:uid="{00000000-0006-0000-0400-0000A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19" authorId="0" shapeId="0" xr:uid="{00000000-0006-0000-0400-0000A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20" authorId="0" shapeId="0" xr:uid="{00000000-0006-0000-0400-0000A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20" authorId="0" shapeId="0" xr:uid="{00000000-0006-0000-0400-0000A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20" authorId="0" shapeId="0" xr:uid="{00000000-0006-0000-0400-0000A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kamera</t>
        </r>
      </text>
    </comment>
    <comment ref="E120" authorId="0" shapeId="0" xr:uid="{00000000-0006-0000-0400-0000A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20" authorId="0" shapeId="0" xr:uid="{00000000-0006-0000-0400-0000A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23" authorId="0" shapeId="0" xr:uid="{00000000-0006-0000-0400-0000A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23" authorId="0" shapeId="0" xr:uid="{00000000-0006-0000-0400-0000A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23" authorId="0" shapeId="0" xr:uid="{00000000-0006-0000-0400-0000A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SCANNER</t>
        </r>
      </text>
    </comment>
    <comment ref="E123" authorId="0" shapeId="0" xr:uid="{00000000-0006-0000-0400-0000B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23" authorId="0" shapeId="0" xr:uid="{00000000-0006-0000-0400-0000B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27" authorId="0" shapeId="0" xr:uid="{00000000-0006-0000-0400-0000B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27" authorId="0" shapeId="0" xr:uid="{00000000-0006-0000-0400-0000B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27" authorId="0" shapeId="0" xr:uid="{00000000-0006-0000-0400-0000B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27" authorId="0" shapeId="0" xr:uid="{00000000-0006-0000-0400-0000B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27" authorId="0" shapeId="0" xr:uid="{00000000-0006-0000-0400-0000B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28" authorId="0" shapeId="0" xr:uid="{00000000-0006-0000-0400-0000B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28" authorId="0" shapeId="0" xr:uid="{00000000-0006-0000-0400-0000B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28" authorId="0" shapeId="0" xr:uid="{00000000-0006-0000-0400-0000B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28" authorId="0" shapeId="0" xr:uid="{00000000-0006-0000-0400-0000B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28" authorId="0" shapeId="0" xr:uid="{00000000-0006-0000-0400-0000B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29" authorId="0" shapeId="0" xr:uid="{00000000-0006-0000-0400-0000B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29" authorId="0" shapeId="0" xr:uid="{00000000-0006-0000-0400-0000B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29" authorId="0" shapeId="0" xr:uid="{00000000-0006-0000-0400-0000B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29" authorId="0" shapeId="0" xr:uid="{00000000-0006-0000-0400-0000B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29" authorId="0" shapeId="0" xr:uid="{00000000-0006-0000-0400-0000C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30" authorId="0" shapeId="0" xr:uid="{00000000-0006-0000-0400-0000C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30" authorId="0" shapeId="0" xr:uid="{00000000-0006-0000-0400-0000C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30" authorId="0" shapeId="0" xr:uid="{00000000-0006-0000-0400-0000C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30" authorId="0" shapeId="0" xr:uid="{00000000-0006-0000-0400-0000C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30" authorId="0" shapeId="0" xr:uid="{00000000-0006-0000-0400-0000C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31" authorId="0" shapeId="0" xr:uid="{00000000-0006-0000-0400-0000C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31" authorId="0" shapeId="0" xr:uid="{00000000-0006-0000-0400-0000C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31" authorId="0" shapeId="0" xr:uid="{00000000-0006-0000-0400-0000C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31" authorId="0" shapeId="0" xr:uid="{00000000-0006-0000-0400-0000C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31" authorId="0" shapeId="0" xr:uid="{00000000-0006-0000-0400-0000C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32" authorId="0" shapeId="0" xr:uid="{00000000-0006-0000-0400-0000C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32" authorId="0" shapeId="0" xr:uid="{00000000-0006-0000-0400-0000C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32" authorId="0" shapeId="0" xr:uid="{00000000-0006-0000-0400-0000C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32" authorId="0" shapeId="0" xr:uid="{00000000-0006-0000-0400-0000C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32" authorId="0" shapeId="0" xr:uid="{00000000-0006-0000-0400-0000C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33" authorId="0" shapeId="0" xr:uid="{00000000-0006-0000-0400-0000D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33" authorId="0" shapeId="0" xr:uid="{00000000-0006-0000-0400-0000D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33" authorId="0" shapeId="0" xr:uid="{00000000-0006-0000-0400-0000D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33" authorId="0" shapeId="0" xr:uid="{00000000-0006-0000-0400-0000D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33" authorId="0" shapeId="0" xr:uid="{00000000-0006-0000-0400-0000D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34" authorId="0" shapeId="0" xr:uid="{00000000-0006-0000-0400-0000D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34" authorId="0" shapeId="0" xr:uid="{00000000-0006-0000-0400-0000D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34" authorId="0" shapeId="0" xr:uid="{00000000-0006-0000-0400-0000D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34" authorId="0" shapeId="0" xr:uid="{00000000-0006-0000-0400-0000D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34" authorId="0" shapeId="0" xr:uid="{00000000-0006-0000-0400-0000D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35" authorId="0" shapeId="0" xr:uid="{00000000-0006-0000-0400-0000D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35" authorId="0" shapeId="0" xr:uid="{00000000-0006-0000-0400-0000D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35" authorId="0" shapeId="0" xr:uid="{00000000-0006-0000-0400-0000D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35" authorId="0" shapeId="0" xr:uid="{00000000-0006-0000-0400-0000D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35" authorId="0" shapeId="0" xr:uid="{00000000-0006-0000-0400-0000D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36" authorId="0" shapeId="0" xr:uid="{00000000-0006-0000-0400-0000D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36" authorId="0" shapeId="0" xr:uid="{00000000-0006-0000-0400-0000E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36" authorId="0" shapeId="0" xr:uid="{00000000-0006-0000-0400-0000E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36" authorId="0" shapeId="0" xr:uid="{00000000-0006-0000-0400-0000E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36" authorId="0" shapeId="0" xr:uid="{00000000-0006-0000-0400-0000E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37" authorId="0" shapeId="0" xr:uid="{00000000-0006-0000-0400-0000E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37" authorId="0" shapeId="0" xr:uid="{00000000-0006-0000-0400-0000E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37" authorId="0" shapeId="0" xr:uid="{00000000-0006-0000-0400-0000E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37" authorId="0" shapeId="0" xr:uid="{00000000-0006-0000-0400-0000E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37" authorId="0" shapeId="0" xr:uid="{00000000-0006-0000-0400-0000E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41" authorId="0" shapeId="0" xr:uid="{00000000-0006-0000-0400-0000E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41" authorId="0" shapeId="0" xr:uid="{00000000-0006-0000-0400-0000E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41" authorId="0" shapeId="0" xr:uid="{00000000-0006-0000-0400-0000E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41" authorId="0" shapeId="0" xr:uid="{00000000-0006-0000-0400-0000E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41" authorId="0" shapeId="0" xr:uid="{00000000-0006-0000-0400-0000E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42" authorId="0" shapeId="0" xr:uid="{00000000-0006-0000-0400-0000E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42" authorId="0" shapeId="0" xr:uid="{00000000-0006-0000-0400-0000E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42" authorId="0" shapeId="0" xr:uid="{00000000-0006-0000-0400-0000F0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42" authorId="0" shapeId="0" xr:uid="{00000000-0006-0000-0400-0000F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42" authorId="0" shapeId="0" xr:uid="{00000000-0006-0000-0400-0000F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43" authorId="0" shapeId="0" xr:uid="{00000000-0006-0000-0400-0000F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43" authorId="0" shapeId="0" xr:uid="{00000000-0006-0000-0400-0000F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43" authorId="0" shapeId="0" xr:uid="{00000000-0006-0000-0400-0000F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43" authorId="0" shapeId="0" xr:uid="{00000000-0006-0000-0400-0000F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43" authorId="0" shapeId="0" xr:uid="{00000000-0006-0000-0400-0000F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44" authorId="0" shapeId="0" xr:uid="{00000000-0006-0000-0400-0000F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44" authorId="0" shapeId="0" xr:uid="{00000000-0006-0000-0400-0000F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44" authorId="0" shapeId="0" xr:uid="{00000000-0006-0000-0400-0000F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44" authorId="0" shapeId="0" xr:uid="{00000000-0006-0000-0400-0000FB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44" authorId="0" shapeId="0" xr:uid="{00000000-0006-0000-0400-0000FC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45" authorId="0" shapeId="0" xr:uid="{00000000-0006-0000-0400-0000FD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45" authorId="0" shapeId="0" xr:uid="{00000000-0006-0000-0400-0000F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45" authorId="0" shapeId="0" xr:uid="{00000000-0006-0000-0400-0000FF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45" authorId="0" shapeId="0" xr:uid="{00000000-0006-0000-0400-00000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45" authorId="0" shapeId="0" xr:uid="{00000000-0006-0000-0400-00000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46" authorId="0" shapeId="0" xr:uid="{00000000-0006-0000-0400-00000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46" authorId="0" shapeId="0" xr:uid="{00000000-0006-0000-0400-00000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46" authorId="0" shapeId="0" xr:uid="{00000000-0006-0000-0400-00000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46" authorId="0" shapeId="0" xr:uid="{00000000-0006-0000-0400-00000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46" authorId="0" shapeId="0" xr:uid="{00000000-0006-0000-0400-00000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47" authorId="0" shapeId="0" xr:uid="{00000000-0006-0000-0400-00000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47" authorId="0" shapeId="0" xr:uid="{00000000-0006-0000-0400-00000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47" authorId="0" shapeId="0" xr:uid="{00000000-0006-0000-0400-00000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47" authorId="0" shapeId="0" xr:uid="{00000000-0006-0000-0400-00000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47" authorId="0" shapeId="0" xr:uid="{00000000-0006-0000-0400-00000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48" authorId="0" shapeId="0" xr:uid="{00000000-0006-0000-0400-00000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48" authorId="0" shapeId="0" xr:uid="{00000000-0006-0000-0400-00000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48" authorId="0" shapeId="0" xr:uid="{00000000-0006-0000-0400-00000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48" authorId="0" shapeId="0" xr:uid="{00000000-0006-0000-0400-00000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48" authorId="0" shapeId="0" xr:uid="{00000000-0006-0000-0400-00001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49" authorId="0" shapeId="0" xr:uid="{00000000-0006-0000-0400-00001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49" authorId="0" shapeId="0" xr:uid="{00000000-0006-0000-0400-00001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49" authorId="0" shapeId="0" xr:uid="{00000000-0006-0000-0400-00001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49" authorId="0" shapeId="0" xr:uid="{00000000-0006-0000-0400-00001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49" authorId="0" shapeId="0" xr:uid="{00000000-0006-0000-0400-00001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50" authorId="0" shapeId="0" xr:uid="{00000000-0006-0000-0400-00001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0" authorId="0" shapeId="0" xr:uid="{00000000-0006-0000-0400-00001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50" authorId="0" shapeId="0" xr:uid="{00000000-0006-0000-0400-00001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50" authorId="0" shapeId="0" xr:uid="{00000000-0006-0000-0400-00001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0" authorId="0" shapeId="0" xr:uid="{00000000-0006-0000-0400-00001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51" authorId="0" shapeId="0" xr:uid="{00000000-0006-0000-0400-00001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1" authorId="0" shapeId="0" xr:uid="{00000000-0006-0000-0400-00001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51" authorId="0" shapeId="0" xr:uid="{00000000-0006-0000-0400-00001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51" authorId="0" shapeId="0" xr:uid="{00000000-0006-0000-0400-00001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1" authorId="0" shapeId="0" xr:uid="{00000000-0006-0000-0400-00001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52" authorId="0" shapeId="0" xr:uid="{00000000-0006-0000-0400-00002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2" authorId="0" shapeId="0" xr:uid="{00000000-0006-0000-0400-00002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52" authorId="0" shapeId="0" xr:uid="{00000000-0006-0000-0400-00002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52" authorId="0" shapeId="0" xr:uid="{00000000-0006-0000-0400-00002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2" authorId="0" shapeId="0" xr:uid="{00000000-0006-0000-0400-00002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53" authorId="0" shapeId="0" xr:uid="{00000000-0006-0000-0400-00002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3" authorId="0" shapeId="0" xr:uid="{00000000-0006-0000-0400-00002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53" authorId="0" shapeId="0" xr:uid="{00000000-0006-0000-0400-00002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53" authorId="0" shapeId="0" xr:uid="{00000000-0006-0000-0400-00002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3" authorId="0" shapeId="0" xr:uid="{00000000-0006-0000-0400-00002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54" authorId="0" shapeId="0" xr:uid="{00000000-0006-0000-0400-00002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4" authorId="0" shapeId="0" xr:uid="{00000000-0006-0000-0400-00002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54" authorId="0" shapeId="0" xr:uid="{00000000-0006-0000-0400-00002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54" authorId="0" shapeId="0" xr:uid="{00000000-0006-0000-0400-00002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4" authorId="0" shapeId="0" xr:uid="{00000000-0006-0000-0400-00002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55" authorId="0" shapeId="0" xr:uid="{00000000-0006-0000-0400-00002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5" authorId="0" shapeId="0" xr:uid="{00000000-0006-0000-0400-00003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55" authorId="0" shapeId="0" xr:uid="{00000000-0006-0000-0400-00003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55" authorId="0" shapeId="0" xr:uid="{00000000-0006-0000-0400-00003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5" authorId="0" shapeId="0" xr:uid="{00000000-0006-0000-0400-00003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58" authorId="0" shapeId="0" xr:uid="{00000000-0006-0000-0400-00003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8" authorId="0" shapeId="0" xr:uid="{00000000-0006-0000-0400-00003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58" authorId="0" shapeId="0" xr:uid="{00000000-0006-0000-0400-00003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58" authorId="0" shapeId="0" xr:uid="{00000000-0006-0000-0400-00003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8" authorId="0" shapeId="0" xr:uid="{00000000-0006-0000-0400-00003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59" authorId="0" shapeId="0" xr:uid="{00000000-0006-0000-0400-00003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59" authorId="0" shapeId="0" xr:uid="{00000000-0006-0000-0400-00003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59" authorId="0" shapeId="0" xr:uid="{00000000-0006-0000-0400-00003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59" authorId="0" shapeId="0" xr:uid="{00000000-0006-0000-0400-00003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59" authorId="0" shapeId="0" xr:uid="{00000000-0006-0000-0400-00003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0" authorId="0" shapeId="0" xr:uid="{00000000-0006-0000-0400-00003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0" authorId="0" shapeId="0" xr:uid="{00000000-0006-0000-0400-00003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0" authorId="0" shapeId="0" xr:uid="{00000000-0006-0000-0400-00004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0" authorId="0" shapeId="0" xr:uid="{00000000-0006-0000-0400-00004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0" authorId="0" shapeId="0" xr:uid="{00000000-0006-0000-0400-00004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1" authorId="0" shapeId="0" xr:uid="{00000000-0006-0000-0400-00004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1" authorId="0" shapeId="0" xr:uid="{00000000-0006-0000-0400-00004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1" authorId="0" shapeId="0" xr:uid="{00000000-0006-0000-0400-00004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1" authorId="0" shapeId="0" xr:uid="{00000000-0006-0000-0400-00004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1" authorId="0" shapeId="0" xr:uid="{00000000-0006-0000-0400-00004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2" authorId="0" shapeId="0" xr:uid="{00000000-0006-0000-0400-00004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2" authorId="0" shapeId="0" xr:uid="{00000000-0006-0000-0400-00004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2" authorId="0" shapeId="0" xr:uid="{00000000-0006-0000-0400-00004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2" authorId="0" shapeId="0" xr:uid="{00000000-0006-0000-0400-00004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2" authorId="0" shapeId="0" xr:uid="{00000000-0006-0000-0400-00004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3" authorId="0" shapeId="0" xr:uid="{00000000-0006-0000-0400-00004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3" authorId="0" shapeId="0" xr:uid="{00000000-0006-0000-0400-00004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3" authorId="0" shapeId="0" xr:uid="{00000000-0006-0000-0400-00004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3" authorId="0" shapeId="0" xr:uid="{00000000-0006-0000-0400-00005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3" authorId="0" shapeId="0" xr:uid="{00000000-0006-0000-0400-00005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4" authorId="0" shapeId="0" xr:uid="{00000000-0006-0000-0400-00005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4" authorId="0" shapeId="0" xr:uid="{00000000-0006-0000-0400-00005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4" authorId="0" shapeId="0" xr:uid="{00000000-0006-0000-0400-00005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4" authorId="0" shapeId="0" xr:uid="{00000000-0006-0000-0400-00005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4" authorId="0" shapeId="0" xr:uid="{00000000-0006-0000-0400-00005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5" authorId="0" shapeId="0" xr:uid="{00000000-0006-0000-0400-00005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5" authorId="0" shapeId="0" xr:uid="{00000000-0006-0000-0400-00005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5" authorId="0" shapeId="0" xr:uid="{00000000-0006-0000-0400-00005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5" authorId="0" shapeId="0" xr:uid="{00000000-0006-0000-0400-00005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5" authorId="0" shapeId="0" xr:uid="{00000000-0006-0000-0400-00005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6" authorId="0" shapeId="0" xr:uid="{00000000-0006-0000-0400-00005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6" authorId="0" shapeId="0" xr:uid="{00000000-0006-0000-0400-00005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6" authorId="0" shapeId="0" xr:uid="{00000000-0006-0000-0400-00005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6" authorId="0" shapeId="0" xr:uid="{00000000-0006-0000-0400-00005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6" authorId="0" shapeId="0" xr:uid="{00000000-0006-0000-0400-00006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7" authorId="0" shapeId="0" xr:uid="{00000000-0006-0000-0400-00006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7" authorId="0" shapeId="0" xr:uid="{00000000-0006-0000-0400-00006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7" authorId="0" shapeId="0" xr:uid="{00000000-0006-0000-0400-00006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7" authorId="0" shapeId="0" xr:uid="{00000000-0006-0000-0400-00006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7" authorId="0" shapeId="0" xr:uid="{00000000-0006-0000-0400-00006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8" authorId="0" shapeId="0" xr:uid="{00000000-0006-0000-0400-00006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8" authorId="0" shapeId="0" xr:uid="{00000000-0006-0000-0400-00006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8" authorId="0" shapeId="0" xr:uid="{00000000-0006-0000-0400-00006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8" authorId="0" shapeId="0" xr:uid="{00000000-0006-0000-0400-00006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8" authorId="0" shapeId="0" xr:uid="{00000000-0006-0000-0400-00006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69" authorId="0" shapeId="0" xr:uid="{00000000-0006-0000-0400-00006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69" authorId="0" shapeId="0" xr:uid="{00000000-0006-0000-0400-00006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69" authorId="0" shapeId="0" xr:uid="{00000000-0006-0000-0400-00006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69" authorId="0" shapeId="0" xr:uid="{00000000-0006-0000-0400-00006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69" authorId="0" shapeId="0" xr:uid="{00000000-0006-0000-0400-00006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72" authorId="0" shapeId="0" xr:uid="{00000000-0006-0000-0400-00007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72" authorId="0" shapeId="0" xr:uid="{00000000-0006-0000-0400-00007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72" authorId="0" shapeId="0" xr:uid="{00000000-0006-0000-0400-00007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72" authorId="0" shapeId="0" xr:uid="{00000000-0006-0000-0400-00007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72" authorId="0" shapeId="0" xr:uid="{00000000-0006-0000-0400-00007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73" authorId="0" shapeId="0" xr:uid="{00000000-0006-0000-0400-00007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73" authorId="0" shapeId="0" xr:uid="{00000000-0006-0000-0400-00007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73" authorId="0" shapeId="0" xr:uid="{00000000-0006-0000-0400-00007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73" authorId="0" shapeId="0" xr:uid="{00000000-0006-0000-0400-00007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73" authorId="0" shapeId="0" xr:uid="{00000000-0006-0000-0400-00007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74" authorId="0" shapeId="0" xr:uid="{00000000-0006-0000-0400-00007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74" authorId="0" shapeId="0" xr:uid="{00000000-0006-0000-0400-00007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74" authorId="0" shapeId="0" xr:uid="{00000000-0006-0000-0400-00007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174" authorId="0" shapeId="0" xr:uid="{00000000-0006-0000-0400-00007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74" authorId="0" shapeId="0" xr:uid="{00000000-0006-0000-0400-00007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77" authorId="0" shapeId="0" xr:uid="{00000000-0006-0000-0400-00007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77" authorId="0" shapeId="0" xr:uid="{00000000-0006-0000-0400-00008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77" authorId="0" shapeId="0" xr:uid="{00000000-0006-0000-0400-00008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77" authorId="0" shapeId="0" xr:uid="{00000000-0006-0000-0400-00008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77" authorId="0" shapeId="0" xr:uid="{00000000-0006-0000-0400-00008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78" authorId="0" shapeId="0" xr:uid="{00000000-0006-0000-0400-00008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78" authorId="0" shapeId="0" xr:uid="{00000000-0006-0000-0400-00008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78" authorId="0" shapeId="0" xr:uid="{00000000-0006-0000-0400-00008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78" authorId="0" shapeId="0" xr:uid="{00000000-0006-0000-0400-00008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78" authorId="0" shapeId="0" xr:uid="{00000000-0006-0000-0400-00008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79" authorId="0" shapeId="0" xr:uid="{00000000-0006-0000-0400-00008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79" authorId="0" shapeId="0" xr:uid="{00000000-0006-0000-0400-00008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79" authorId="0" shapeId="0" xr:uid="{00000000-0006-0000-0400-00008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79" authorId="0" shapeId="0" xr:uid="{00000000-0006-0000-0400-00008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79" authorId="0" shapeId="0" xr:uid="{00000000-0006-0000-0400-00008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80" authorId="0" shapeId="0" xr:uid="{00000000-0006-0000-0400-00008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0" authorId="0" shapeId="0" xr:uid="{00000000-0006-0000-0400-00008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80" authorId="0" shapeId="0" xr:uid="{00000000-0006-0000-0400-00009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80" authorId="0" shapeId="0" xr:uid="{00000000-0006-0000-0400-00009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0" authorId="0" shapeId="0" xr:uid="{00000000-0006-0000-0400-00009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81" authorId="0" shapeId="0" xr:uid="{00000000-0006-0000-0400-00009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1" authorId="0" shapeId="0" xr:uid="{00000000-0006-0000-0400-00009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81" authorId="0" shapeId="0" xr:uid="{00000000-0006-0000-0400-00009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81" authorId="0" shapeId="0" xr:uid="{00000000-0006-0000-0400-00009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1" authorId="0" shapeId="0" xr:uid="{00000000-0006-0000-0400-00009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82" authorId="0" shapeId="0" xr:uid="{00000000-0006-0000-0400-00009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2" authorId="0" shapeId="0" xr:uid="{00000000-0006-0000-0400-00009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82" authorId="0" shapeId="0" xr:uid="{00000000-0006-0000-0400-00009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82" authorId="0" shapeId="0" xr:uid="{00000000-0006-0000-0400-00009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2" authorId="0" shapeId="0" xr:uid="{00000000-0006-0000-0400-00009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83" authorId="0" shapeId="0" xr:uid="{00000000-0006-0000-0400-00009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3" authorId="0" shapeId="0" xr:uid="{00000000-0006-0000-0400-00009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83" authorId="0" shapeId="0" xr:uid="{00000000-0006-0000-0400-00009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speaker</t>
        </r>
      </text>
    </comment>
    <comment ref="E183" authorId="0" shapeId="0" xr:uid="{00000000-0006-0000-0400-0000A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3" authorId="0" shapeId="0" xr:uid="{00000000-0006-0000-0400-0000A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186" authorId="0" shapeId="0" xr:uid="{00000000-0006-0000-0400-0000A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186" authorId="0" shapeId="0" xr:uid="{00000000-0006-0000-0400-0000A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186" authorId="0" shapeId="0" xr:uid="{00000000-0006-0000-0400-0000A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</t>
        </r>
      </text>
    </comment>
    <comment ref="E186" authorId="0" shapeId="0" xr:uid="{00000000-0006-0000-0400-0000A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186" authorId="0" shapeId="0" xr:uid="{00000000-0006-0000-0400-0000A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D190" authorId="0" shapeId="0" xr:uid="{00000000-0006-0000-0400-0000A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</t>
        </r>
      </text>
    </comment>
    <comment ref="D194" authorId="0" shapeId="0" xr:uid="{00000000-0006-0000-0400-0000A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</t>
        </r>
      </text>
    </comment>
    <comment ref="D198" authorId="0" shapeId="0" xr:uid="{00000000-0006-0000-0400-0000A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</t>
        </r>
      </text>
    </comment>
    <comment ref="D202" authorId="0" shapeId="0" xr:uid="{00000000-0006-0000-0400-0000A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</t>
        </r>
      </text>
    </comment>
    <comment ref="D206" authorId="0" shapeId="0" xr:uid="{00000000-0006-0000-0400-0000A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</t>
        </r>
      </text>
    </comment>
    <comment ref="D210" authorId="0" shapeId="0" xr:uid="{00000000-0006-0000-0400-0000A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</t>
        </r>
      </text>
    </comment>
    <comment ref="B212" authorId="0" shapeId="0" xr:uid="{00000000-0006-0000-0400-0000A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12" authorId="0" shapeId="0" xr:uid="{00000000-0006-0000-0400-0000A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E212" authorId="0" shapeId="0" xr:uid="{00000000-0006-0000-0400-0000A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12" authorId="0" shapeId="0" xr:uid="{00000000-0006-0000-0400-0000B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D214" authorId="0" shapeId="0" xr:uid="{00000000-0006-0000-0400-0000B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AC</t>
        </r>
      </text>
    </comment>
    <comment ref="B217" authorId="0" shapeId="0" xr:uid="{00000000-0006-0000-0400-0000B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17" authorId="0" shapeId="0" xr:uid="{00000000-0006-0000-0400-0000B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17" authorId="0" shapeId="0" xr:uid="{00000000-0006-0000-0400-0000B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17" authorId="0" shapeId="0" xr:uid="{00000000-0006-0000-0400-0000B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17" authorId="0" shapeId="0" xr:uid="{00000000-0006-0000-0400-0000B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20" authorId="0" shapeId="0" xr:uid="{00000000-0006-0000-0400-0000B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20" authorId="0" shapeId="0" xr:uid="{00000000-0006-0000-0400-0000B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20" authorId="0" shapeId="0" xr:uid="{00000000-0006-0000-0400-0000B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20" authorId="0" shapeId="0" xr:uid="{00000000-0006-0000-0400-0000B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20" authorId="0" shapeId="0" xr:uid="{00000000-0006-0000-0400-0000B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21" authorId="0" shapeId="0" xr:uid="{00000000-0006-0000-0400-0000B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21" authorId="0" shapeId="0" xr:uid="{00000000-0006-0000-0400-0000B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21" authorId="0" shapeId="0" xr:uid="{00000000-0006-0000-0400-0000B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21" authorId="0" shapeId="0" xr:uid="{00000000-0006-0000-0400-0000B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21" authorId="0" shapeId="0" xr:uid="{00000000-0006-0000-0400-0000C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22" authorId="0" shapeId="0" xr:uid="{00000000-0006-0000-0400-0000C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22" authorId="0" shapeId="0" xr:uid="{00000000-0006-0000-0400-0000C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22" authorId="0" shapeId="0" xr:uid="{00000000-0006-0000-0400-0000C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22" authorId="0" shapeId="0" xr:uid="{00000000-0006-0000-0400-0000C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22" authorId="0" shapeId="0" xr:uid="{00000000-0006-0000-0400-0000C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23" authorId="0" shapeId="0" xr:uid="{00000000-0006-0000-0400-0000C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23" authorId="0" shapeId="0" xr:uid="{00000000-0006-0000-0400-0000C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23" authorId="0" shapeId="0" xr:uid="{00000000-0006-0000-0400-0000C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23" authorId="0" shapeId="0" xr:uid="{00000000-0006-0000-0400-0000C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23" authorId="0" shapeId="0" xr:uid="{00000000-0006-0000-0400-0000C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24" authorId="0" shapeId="0" xr:uid="{00000000-0006-0000-0400-0000C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24" authorId="0" shapeId="0" xr:uid="{00000000-0006-0000-0400-0000C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24" authorId="0" shapeId="0" xr:uid="{00000000-0006-0000-0400-0000C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24" authorId="0" shapeId="0" xr:uid="{00000000-0006-0000-0400-0000C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24" authorId="0" shapeId="0" xr:uid="{00000000-0006-0000-0400-0000C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25" authorId="0" shapeId="0" xr:uid="{00000000-0006-0000-0400-0000D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25" authorId="0" shapeId="0" xr:uid="{00000000-0006-0000-0400-0000D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25" authorId="0" shapeId="0" xr:uid="{00000000-0006-0000-0400-0000D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25" authorId="0" shapeId="0" xr:uid="{00000000-0006-0000-0400-0000D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25" authorId="0" shapeId="0" xr:uid="{00000000-0006-0000-0400-0000D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28" authorId="0" shapeId="0" xr:uid="{00000000-0006-0000-0400-0000D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28" authorId="0" shapeId="0" xr:uid="{00000000-0006-0000-0400-0000D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28" authorId="0" shapeId="0" xr:uid="{00000000-0006-0000-0400-0000D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28" authorId="0" shapeId="0" xr:uid="{00000000-0006-0000-0400-0000D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28" authorId="0" shapeId="0" xr:uid="{00000000-0006-0000-0400-0000D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29" authorId="0" shapeId="0" xr:uid="{00000000-0006-0000-0400-0000D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29" authorId="0" shapeId="0" xr:uid="{00000000-0006-0000-0400-0000D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29" authorId="0" shapeId="0" xr:uid="{00000000-0006-0000-0400-0000D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29" authorId="0" shapeId="0" xr:uid="{00000000-0006-0000-0400-0000D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29" authorId="0" shapeId="0" xr:uid="{00000000-0006-0000-0400-0000D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30" authorId="0" shapeId="0" xr:uid="{00000000-0006-0000-0400-0000D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30" authorId="0" shapeId="0" xr:uid="{00000000-0006-0000-0400-0000E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30" authorId="0" shapeId="0" xr:uid="{00000000-0006-0000-0400-0000E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30" authorId="0" shapeId="0" xr:uid="{00000000-0006-0000-0400-0000E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30" authorId="0" shapeId="0" xr:uid="{00000000-0006-0000-0400-0000E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31" authorId="0" shapeId="0" xr:uid="{00000000-0006-0000-0400-0000E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31" authorId="0" shapeId="0" xr:uid="{00000000-0006-0000-0400-0000E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31" authorId="0" shapeId="0" xr:uid="{00000000-0006-0000-0400-0000E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31" authorId="0" shapeId="0" xr:uid="{00000000-0006-0000-0400-0000E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31" authorId="0" shapeId="0" xr:uid="{00000000-0006-0000-0400-0000E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32" authorId="0" shapeId="0" xr:uid="{00000000-0006-0000-0400-0000E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32" authorId="0" shapeId="0" xr:uid="{00000000-0006-0000-0400-0000E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32" authorId="0" shapeId="0" xr:uid="{00000000-0006-0000-0400-0000E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32" authorId="0" shapeId="0" xr:uid="{00000000-0006-0000-0400-0000E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32" authorId="0" shapeId="0" xr:uid="{00000000-0006-0000-0400-0000E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33" authorId="0" shapeId="0" xr:uid="{00000000-0006-0000-0400-0000E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33" authorId="0" shapeId="0" xr:uid="{00000000-0006-0000-0400-0000E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33" authorId="0" shapeId="0" xr:uid="{00000000-0006-0000-0400-0000F0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33" authorId="0" shapeId="0" xr:uid="{00000000-0006-0000-0400-0000F1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33" authorId="0" shapeId="0" xr:uid="{00000000-0006-0000-0400-0000F2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34" authorId="0" shapeId="0" xr:uid="{00000000-0006-0000-0400-0000F3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34" authorId="0" shapeId="0" xr:uid="{00000000-0006-0000-0400-0000F4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34" authorId="0" shapeId="0" xr:uid="{00000000-0006-0000-0400-0000F5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34" authorId="0" shapeId="0" xr:uid="{00000000-0006-0000-0400-0000F6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B235" authorId="0" shapeId="0" xr:uid="{00000000-0006-0000-0400-0000F7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35" authorId="0" shapeId="0" xr:uid="{00000000-0006-0000-0400-0000F8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35" authorId="0" shapeId="0" xr:uid="{00000000-0006-0000-0400-0000F9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35" authorId="0" shapeId="0" xr:uid="{00000000-0006-0000-0400-0000FA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35" authorId="0" shapeId="0" xr:uid="{00000000-0006-0000-0400-0000FB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36" authorId="0" shapeId="0" xr:uid="{00000000-0006-0000-0400-0000FC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36" authorId="0" shapeId="0" xr:uid="{00000000-0006-0000-0400-0000FD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36" authorId="0" shapeId="0" xr:uid="{00000000-0006-0000-0400-0000FE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Dispenser</t>
        </r>
      </text>
    </comment>
    <comment ref="E236" authorId="0" shapeId="0" xr:uid="{00000000-0006-0000-0400-0000FF01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36" authorId="0" shapeId="0" xr:uid="{00000000-0006-0000-0400-000000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38" authorId="0" shapeId="0" xr:uid="{00000000-0006-0000-0400-000001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38" authorId="0" shapeId="0" xr:uid="{00000000-0006-0000-0400-000002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38" authorId="0" shapeId="0" xr:uid="{00000000-0006-0000-0400-000003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38" authorId="0" shapeId="0" xr:uid="{00000000-0006-0000-0400-000004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38" authorId="0" shapeId="0" xr:uid="{00000000-0006-0000-0400-000005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41" authorId="0" shapeId="0" xr:uid="{00000000-0006-0000-0400-000006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41" authorId="0" shapeId="0" xr:uid="{00000000-0006-0000-0400-000007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41" authorId="0" shapeId="0" xr:uid="{00000000-0006-0000-0400-000008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41" authorId="0" shapeId="0" xr:uid="{00000000-0006-0000-0400-000009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41" authorId="0" shapeId="0" xr:uid="{00000000-0006-0000-0400-00000A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42" authorId="0" shapeId="0" xr:uid="{00000000-0006-0000-0400-00000B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42" authorId="0" shapeId="0" xr:uid="{00000000-0006-0000-0400-00000C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42" authorId="0" shapeId="0" xr:uid="{00000000-0006-0000-0400-00000D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42" authorId="0" shapeId="0" xr:uid="{00000000-0006-0000-0400-00000E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42" authorId="0" shapeId="0" xr:uid="{00000000-0006-0000-0400-00000F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43" authorId="0" shapeId="0" xr:uid="{00000000-0006-0000-0400-000010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43" authorId="0" shapeId="0" xr:uid="{00000000-0006-0000-0400-000011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43" authorId="0" shapeId="0" xr:uid="{00000000-0006-0000-0400-000012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43" authorId="0" shapeId="0" xr:uid="{00000000-0006-0000-0400-000013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43" authorId="0" shapeId="0" xr:uid="{00000000-0006-0000-0400-000014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44" authorId="0" shapeId="0" xr:uid="{00000000-0006-0000-0400-000015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44" authorId="0" shapeId="0" xr:uid="{00000000-0006-0000-0400-000016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44" authorId="0" shapeId="0" xr:uid="{00000000-0006-0000-0400-000017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44" authorId="0" shapeId="0" xr:uid="{00000000-0006-0000-0400-000018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44" authorId="0" shapeId="0" xr:uid="{00000000-0006-0000-0400-000019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45" authorId="0" shapeId="0" xr:uid="{00000000-0006-0000-0400-00001A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45" authorId="0" shapeId="0" xr:uid="{00000000-0006-0000-0400-00001B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45" authorId="0" shapeId="0" xr:uid="{00000000-0006-0000-0400-00001C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45" authorId="0" shapeId="0" xr:uid="{00000000-0006-0000-0400-00001D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45" authorId="0" shapeId="0" xr:uid="{00000000-0006-0000-0400-00001E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48" authorId="0" shapeId="0" xr:uid="{00000000-0006-0000-0400-00001F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48" authorId="0" shapeId="0" xr:uid="{00000000-0006-0000-0400-000020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48" authorId="0" shapeId="0" xr:uid="{00000000-0006-0000-0400-000021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48" authorId="0" shapeId="0" xr:uid="{00000000-0006-0000-0400-000022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48" authorId="0" shapeId="0" xr:uid="{00000000-0006-0000-0400-000023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51" authorId="0" shapeId="0" xr:uid="{00000000-0006-0000-0400-000024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51" authorId="0" shapeId="0" xr:uid="{00000000-0006-0000-0400-000025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51" authorId="0" shapeId="0" xr:uid="{00000000-0006-0000-0400-000026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51" authorId="0" shapeId="0" xr:uid="{00000000-0006-0000-0400-000027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51" authorId="0" shapeId="0" xr:uid="{00000000-0006-0000-0400-000028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52" authorId="0" shapeId="0" xr:uid="{00000000-0006-0000-0400-000029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52" authorId="0" shapeId="0" xr:uid="{00000000-0006-0000-0400-00002A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52" authorId="0" shapeId="0" xr:uid="{00000000-0006-0000-0400-00002B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52" authorId="0" shapeId="0" xr:uid="{00000000-0006-0000-0400-00002C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52" authorId="0" shapeId="0" xr:uid="{00000000-0006-0000-0400-00002D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53" authorId="0" shapeId="0" xr:uid="{00000000-0006-0000-0400-00002E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53" authorId="0" shapeId="0" xr:uid="{00000000-0006-0000-0400-00002F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53" authorId="0" shapeId="0" xr:uid="{00000000-0006-0000-0400-000030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53" authorId="0" shapeId="0" xr:uid="{00000000-0006-0000-0400-000031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53" authorId="0" shapeId="0" xr:uid="{00000000-0006-0000-0400-000032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  <comment ref="B254" authorId="0" shapeId="0" xr:uid="{00000000-0006-0000-0400-000033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</t>
        </r>
      </text>
    </comment>
    <comment ref="C254" authorId="0" shapeId="0" xr:uid="{00000000-0006-0000-0400-000034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ELEKTRONIK</t>
        </r>
      </text>
    </comment>
    <comment ref="D254" authorId="0" shapeId="0" xr:uid="{00000000-0006-0000-0400-000035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Kulkas</t>
        </r>
      </text>
    </comment>
    <comment ref="E254" authorId="0" shapeId="0" xr:uid="{00000000-0006-0000-0400-000036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NOMOR ASET</t>
        </r>
      </text>
    </comment>
    <comment ref="F254" authorId="0" shapeId="0" xr:uid="{00000000-0006-0000-0400-00003702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TAHUN PEMBELIAN</t>
        </r>
      </text>
    </comment>
  </commentList>
</comments>
</file>

<file path=xl/sharedStrings.xml><?xml version="1.0" encoding="utf-8"?>
<sst xmlns="http://schemas.openxmlformats.org/spreadsheetml/2006/main" count="1943" uniqueCount="478">
  <si>
    <t>01</t>
  </si>
  <si>
    <t>03</t>
  </si>
  <si>
    <t>ELEKTRONIK</t>
  </si>
  <si>
    <t>KOMPUTER</t>
  </si>
  <si>
    <t>PRINTER</t>
  </si>
  <si>
    <t>LCD</t>
  </si>
  <si>
    <t>TELEVISI</t>
  </si>
  <si>
    <t>JAM DINDING</t>
  </si>
  <si>
    <t>AC</t>
  </si>
  <si>
    <t>DISPENSER</t>
  </si>
  <si>
    <t>LOKASI</t>
  </si>
  <si>
    <t>No. Urut</t>
  </si>
  <si>
    <t>No. Seri Pabrik</t>
  </si>
  <si>
    <t>Bahan</t>
  </si>
  <si>
    <t>Keadaan Barang</t>
  </si>
  <si>
    <t>Ket. Mutasi dll</t>
  </si>
  <si>
    <t>Baik (B)</t>
  </si>
  <si>
    <t>Kurang Baik (KB)</t>
  </si>
  <si>
    <t>Rusak Berat (RB)</t>
  </si>
  <si>
    <t>-</t>
  </si>
  <si>
    <t>Jumlah Barang</t>
  </si>
  <si>
    <t>Merk/Model</t>
  </si>
  <si>
    <t>Ruangan</t>
  </si>
  <si>
    <t>:</t>
  </si>
  <si>
    <t>001</t>
  </si>
  <si>
    <t>003</t>
  </si>
  <si>
    <t>004</t>
  </si>
  <si>
    <t>002</t>
  </si>
  <si>
    <t>005</t>
  </si>
  <si>
    <t>006</t>
  </si>
  <si>
    <t>007</t>
  </si>
  <si>
    <t>008</t>
  </si>
  <si>
    <t>009</t>
  </si>
  <si>
    <t>010</t>
  </si>
  <si>
    <t>011</t>
  </si>
  <si>
    <t>PH</t>
  </si>
  <si>
    <t>KODE BARANG</t>
  </si>
  <si>
    <t>015</t>
  </si>
  <si>
    <t>JENIS BARANG</t>
  </si>
  <si>
    <t>NOMOR ASET</t>
  </si>
  <si>
    <t>Tahun Pembelian</t>
  </si>
  <si>
    <t>PANASONIC</t>
  </si>
  <si>
    <t>v</t>
  </si>
  <si>
    <t>SARANA PRASARANA</t>
  </si>
  <si>
    <t>USAHA</t>
  </si>
  <si>
    <t>Fiber</t>
  </si>
  <si>
    <t>Lenovo</t>
  </si>
  <si>
    <t>MP1ARM7T</t>
  </si>
  <si>
    <t>MP1ARM77</t>
  </si>
  <si>
    <t>MP1AFXMW</t>
  </si>
  <si>
    <t>MP1AFXKN</t>
  </si>
  <si>
    <t>EPSON</t>
  </si>
  <si>
    <t>X5DX134689</t>
  </si>
  <si>
    <t>KABAG Usaha</t>
  </si>
  <si>
    <t>34 25 29 62 95</t>
  </si>
  <si>
    <t>68 72 69 27 21</t>
  </si>
  <si>
    <t>LG</t>
  </si>
  <si>
    <t>MEZ 564 801 06</t>
  </si>
  <si>
    <t>PERSONALIA</t>
  </si>
  <si>
    <t>34 25 29 63 04</t>
  </si>
  <si>
    <t>68 72 61 08 64 1</t>
  </si>
  <si>
    <t>CS PC12E KH-7</t>
  </si>
  <si>
    <t>72 86 50 30 49</t>
  </si>
  <si>
    <t>001A</t>
  </si>
  <si>
    <t>001B</t>
  </si>
  <si>
    <t>002A</t>
  </si>
  <si>
    <t>002B</t>
  </si>
  <si>
    <t>003A</t>
  </si>
  <si>
    <t>003B</t>
  </si>
  <si>
    <t>004A</t>
  </si>
  <si>
    <t>004B</t>
  </si>
  <si>
    <t>005A</t>
  </si>
  <si>
    <t>005B</t>
  </si>
  <si>
    <t>006A</t>
  </si>
  <si>
    <t>006B</t>
  </si>
  <si>
    <t>007A</t>
  </si>
  <si>
    <t>007B</t>
  </si>
  <si>
    <t>008A</t>
  </si>
  <si>
    <t>008B</t>
  </si>
  <si>
    <t>009A</t>
  </si>
  <si>
    <t>009B</t>
  </si>
  <si>
    <t>71 56 04 73 96</t>
  </si>
  <si>
    <t>72 86 60 00 08</t>
  </si>
  <si>
    <t>34 25 29 30 95</t>
  </si>
  <si>
    <t>68 72 69 40 11</t>
  </si>
  <si>
    <t>MUSHOLLAH</t>
  </si>
  <si>
    <t>15 70 NF 10 16 67</t>
  </si>
  <si>
    <t>10 27 WF 30 09 97</t>
  </si>
  <si>
    <t>15 71 NI 10 10 22</t>
  </si>
  <si>
    <t>10 26 WF 30 63 07</t>
  </si>
  <si>
    <t>37 92 90 72 77</t>
  </si>
  <si>
    <t>67 07 30 44 96</t>
  </si>
  <si>
    <t>KEUANGAN</t>
  </si>
  <si>
    <t>0010A</t>
  </si>
  <si>
    <t>0010B</t>
  </si>
  <si>
    <t>0011A</t>
  </si>
  <si>
    <t>0011B</t>
  </si>
  <si>
    <t>0012A</t>
  </si>
  <si>
    <t>0012B</t>
  </si>
  <si>
    <t>37 29 90 72 80</t>
  </si>
  <si>
    <t>67 07 30 45 01</t>
  </si>
  <si>
    <t>37 29 90 63 35</t>
  </si>
  <si>
    <t>67 07 30 66 33</t>
  </si>
  <si>
    <t>V</t>
  </si>
  <si>
    <t>37 00 71 11 51</t>
  </si>
  <si>
    <t>69 31 91 41 09</t>
  </si>
  <si>
    <t>KETUA HARIAN1</t>
  </si>
  <si>
    <t>KETUA HARIAN2</t>
  </si>
  <si>
    <t>PENDIDIKAN1</t>
  </si>
  <si>
    <t>PENDIDIKAN2</t>
  </si>
  <si>
    <t>RAPAT MEETING</t>
  </si>
  <si>
    <t>KABIS SARPRAS</t>
  </si>
  <si>
    <t>Kabag Usaha</t>
  </si>
  <si>
    <t>KETERANGAN</t>
  </si>
  <si>
    <t>012</t>
  </si>
  <si>
    <t>013</t>
  </si>
  <si>
    <t>014</t>
  </si>
  <si>
    <t>016</t>
  </si>
  <si>
    <t>018</t>
  </si>
  <si>
    <t>020</t>
  </si>
  <si>
    <t>JENIS</t>
  </si>
  <si>
    <t>INDOOR</t>
  </si>
  <si>
    <t>OUT DOOR</t>
  </si>
  <si>
    <t>ALL IN ONE</t>
  </si>
  <si>
    <t>VNC343215</t>
  </si>
  <si>
    <t xml:space="preserve">HP </t>
  </si>
  <si>
    <t>L3110</t>
  </si>
  <si>
    <t>Laser Jet M102a</t>
  </si>
  <si>
    <t>ADM UMUM</t>
  </si>
  <si>
    <t>ESD-1613059C</t>
  </si>
  <si>
    <t>P-Touch-P900W</t>
  </si>
  <si>
    <t>E70441K1F180088</t>
  </si>
  <si>
    <t>MFC-J430W</t>
  </si>
  <si>
    <t>BESI</t>
  </si>
  <si>
    <t>F5S28-80088</t>
  </si>
  <si>
    <t>R.RAPAT</t>
  </si>
  <si>
    <t>DeskJet Ink Advantage 2135</t>
  </si>
  <si>
    <t>ADM PERSONALIA</t>
  </si>
  <si>
    <t>BenQ</t>
  </si>
  <si>
    <t>Adm Sarpras</t>
  </si>
  <si>
    <t>CPU</t>
  </si>
  <si>
    <t>Monitor</t>
  </si>
  <si>
    <t>Lepas</t>
  </si>
  <si>
    <t>0013A</t>
  </si>
  <si>
    <t>0013B</t>
  </si>
  <si>
    <t>67 07 35 00 88</t>
  </si>
  <si>
    <t>37 92 94 69 84</t>
  </si>
  <si>
    <t>Adm Usaha</t>
  </si>
  <si>
    <t>Adm Personalia</t>
  </si>
  <si>
    <t xml:space="preserve">Canon </t>
  </si>
  <si>
    <t>9000F</t>
  </si>
  <si>
    <t>0001</t>
  </si>
  <si>
    <t>0002</t>
  </si>
  <si>
    <t>0003</t>
  </si>
  <si>
    <t>0004</t>
  </si>
  <si>
    <t>0005</t>
  </si>
  <si>
    <t>KULKAS</t>
  </si>
  <si>
    <t>RUANG RAPAT</t>
  </si>
  <si>
    <t>SCAN</t>
  </si>
  <si>
    <t>2 PINTU</t>
  </si>
  <si>
    <t>SHARP</t>
  </si>
  <si>
    <t>Dispenser</t>
  </si>
  <si>
    <t>Sanken</t>
  </si>
  <si>
    <t>R. RAPAT YAYASAN</t>
  </si>
  <si>
    <t>SPEAKER</t>
  </si>
  <si>
    <t>ORIGINAL CMC</t>
  </si>
  <si>
    <t>0014A</t>
  </si>
  <si>
    <t>0014B</t>
  </si>
  <si>
    <t>22 29 62 23 116</t>
  </si>
  <si>
    <t>22 19 63 24 187</t>
  </si>
  <si>
    <t>0015A</t>
  </si>
  <si>
    <t>0015B</t>
  </si>
  <si>
    <t>222 96 222 963</t>
  </si>
  <si>
    <t>221 96 324 169</t>
  </si>
  <si>
    <t>R. MEETING</t>
  </si>
  <si>
    <t>Rusak</t>
  </si>
  <si>
    <t>Epson</t>
  </si>
  <si>
    <t>X5NZ038502</t>
  </si>
  <si>
    <t>L5190</t>
  </si>
  <si>
    <t>Komputer</t>
  </si>
  <si>
    <t>Printer</t>
  </si>
  <si>
    <t>Scanner</t>
  </si>
  <si>
    <t>DS-410</t>
  </si>
  <si>
    <t>021</t>
  </si>
  <si>
    <t>LAPTOP</t>
  </si>
  <si>
    <t>Samsung</t>
  </si>
  <si>
    <t>KABEL HDMI</t>
  </si>
  <si>
    <t>KABEL</t>
  </si>
  <si>
    <t>UA50TU7000KXXD</t>
  </si>
  <si>
    <t>HANDYCAM / WEBCAM</t>
  </si>
  <si>
    <t>LOGITECH B525</t>
  </si>
  <si>
    <t>DZL-V-U0023(B)</t>
  </si>
  <si>
    <t>KETUA HARIAN</t>
  </si>
  <si>
    <t>HD WEBCAM</t>
  </si>
  <si>
    <t>ASUS</t>
  </si>
  <si>
    <t>0011</t>
  </si>
  <si>
    <t>SPEAKER AKTIF</t>
  </si>
  <si>
    <t>LOGITECH</t>
  </si>
  <si>
    <t>003C</t>
  </si>
  <si>
    <t>0007</t>
  </si>
  <si>
    <t>0008</t>
  </si>
  <si>
    <t>0009</t>
  </si>
  <si>
    <t>0006</t>
  </si>
  <si>
    <t>JAM</t>
  </si>
  <si>
    <t>MIRADO</t>
  </si>
  <si>
    <t>KACA</t>
  </si>
  <si>
    <t>0010</t>
  </si>
  <si>
    <t>0012</t>
  </si>
  <si>
    <t>ADM KA HARIAN</t>
  </si>
  <si>
    <t>0013</t>
  </si>
  <si>
    <t>0014</t>
  </si>
  <si>
    <t>0015</t>
  </si>
  <si>
    <t>0016</t>
  </si>
  <si>
    <t>0017</t>
  </si>
  <si>
    <t>ADM KEUANGAN</t>
  </si>
  <si>
    <t>KABAG KEUANGAN</t>
  </si>
  <si>
    <t>0018</t>
  </si>
  <si>
    <t>0019</t>
  </si>
  <si>
    <t>Adm Keuangan</t>
  </si>
  <si>
    <t>010A</t>
  </si>
  <si>
    <t>010B</t>
  </si>
  <si>
    <t>Kabag keuangan</t>
  </si>
  <si>
    <t>Kabag Keuangan</t>
  </si>
  <si>
    <t>011A</t>
  </si>
  <si>
    <t>011B</t>
  </si>
  <si>
    <t>0020</t>
  </si>
  <si>
    <t>ADM</t>
  </si>
  <si>
    <t>KABAG</t>
  </si>
  <si>
    <t>0021</t>
  </si>
  <si>
    <t>0022</t>
  </si>
  <si>
    <t>0023</t>
  </si>
  <si>
    <t>0024</t>
  </si>
  <si>
    <t>022</t>
  </si>
  <si>
    <t>PEMOTONG KERTAS</t>
  </si>
  <si>
    <t>TOSHIBA</t>
  </si>
  <si>
    <t>023</t>
  </si>
  <si>
    <t>KALKULATOR ELECTRIC</t>
  </si>
  <si>
    <t>KALKULATOR</t>
  </si>
  <si>
    <t>TELEPON</t>
  </si>
  <si>
    <t>TELEPON / HP</t>
  </si>
  <si>
    <t>OPPO</t>
  </si>
  <si>
    <t>HP</t>
  </si>
  <si>
    <t>F11 - FLOWRITE</t>
  </si>
  <si>
    <t>KIPAS ANGIN</t>
  </si>
  <si>
    <t>KIPAS</t>
  </si>
  <si>
    <t>ASUS Vivo Book</t>
  </si>
  <si>
    <t>24ML9N0CX04P602379</t>
  </si>
  <si>
    <t>KABID PENDIDIKAN</t>
  </si>
  <si>
    <t>AGUS</t>
  </si>
  <si>
    <t>NURI</t>
  </si>
  <si>
    <t>LIANA</t>
  </si>
  <si>
    <t>24ML9N0CX04N47937A</t>
  </si>
  <si>
    <t>012A</t>
  </si>
  <si>
    <t>012B</t>
  </si>
  <si>
    <t>R. RAPAT</t>
  </si>
  <si>
    <t>013A</t>
  </si>
  <si>
    <t>013B</t>
  </si>
  <si>
    <t>014B</t>
  </si>
  <si>
    <t>0025</t>
  </si>
  <si>
    <t>0026</t>
  </si>
  <si>
    <t>0027</t>
  </si>
  <si>
    <t>ACER</t>
  </si>
  <si>
    <t>YAMAHA</t>
  </si>
  <si>
    <t>EQUALIZER</t>
  </si>
  <si>
    <t>MG 124 CX</t>
  </si>
  <si>
    <t>AUDER</t>
  </si>
  <si>
    <t>SA - 500</t>
  </si>
  <si>
    <t>AMPLIFIER</t>
  </si>
  <si>
    <t>POWER</t>
  </si>
  <si>
    <t>012  TELEPON/HP</t>
  </si>
  <si>
    <t>014  JAM DINDING</t>
  </si>
  <si>
    <t>015  AC</t>
  </si>
  <si>
    <t>016  DISPENSER</t>
  </si>
  <si>
    <t>017  MEGAPHONE</t>
  </si>
  <si>
    <t>019  CCTV</t>
  </si>
  <si>
    <t>020  LAPTOP</t>
  </si>
  <si>
    <t>011  AMPLIFIER/EQUALIZER/MIC</t>
  </si>
  <si>
    <t>021  KULKAS</t>
  </si>
  <si>
    <t>022  PEMOTONG KERTAS</t>
  </si>
  <si>
    <t>023  KALKULATOR ELECTRIC</t>
  </si>
  <si>
    <t>006  FOTO COPY / RISHOGRAPH</t>
  </si>
  <si>
    <t>008  HANDYCAM / KAMERA FOTO</t>
  </si>
  <si>
    <t>009  Webcam</t>
  </si>
  <si>
    <t>010  SPEAKER/SALON</t>
  </si>
  <si>
    <t>001  KOMPUTER</t>
  </si>
  <si>
    <t>003  PRINTER</t>
  </si>
  <si>
    <t>004  SCANNER</t>
  </si>
  <si>
    <t>CD/DVD</t>
  </si>
  <si>
    <t>LCD /KABEL</t>
  </si>
  <si>
    <t>002  LCD / KABEL</t>
  </si>
  <si>
    <t>TELEVISI / TAPE / RADIO /CD /DVD</t>
  </si>
  <si>
    <t>005  TELEVISI / TAPE /CD /DVD</t>
  </si>
  <si>
    <t>007  KIPAS ANGIN</t>
  </si>
  <si>
    <t>AMPLIFIER/EQUALIZER/MIC</t>
  </si>
  <si>
    <t>SHURE</t>
  </si>
  <si>
    <t>UGX-9</t>
  </si>
  <si>
    <t>KREST</t>
  </si>
  <si>
    <t>BM 301</t>
  </si>
  <si>
    <t>MIC RAPAT</t>
  </si>
  <si>
    <t>POWER WIRELESS</t>
  </si>
  <si>
    <t>SM58</t>
  </si>
  <si>
    <t>FIBER</t>
  </si>
  <si>
    <t>MIC</t>
  </si>
  <si>
    <t>HITAM</t>
  </si>
  <si>
    <t>PUTIH</t>
  </si>
  <si>
    <t>018  HUB INTERNET</t>
  </si>
  <si>
    <t>HUB INTERNET</t>
  </si>
  <si>
    <t>D-LINK</t>
  </si>
  <si>
    <t>DES-1016D</t>
  </si>
  <si>
    <t>HILANG</t>
  </si>
  <si>
    <t>STATUS</t>
  </si>
  <si>
    <t>024  ALAT KESEHATAN</t>
  </si>
  <si>
    <t>024</t>
  </si>
  <si>
    <t>ALAT KESEHATAN</t>
  </si>
  <si>
    <t>BEURER</t>
  </si>
  <si>
    <t>2021G02/010571</t>
  </si>
  <si>
    <t>umum</t>
  </si>
  <si>
    <t>Pulse oximeter</t>
  </si>
  <si>
    <t>OMRON</t>
  </si>
  <si>
    <t>202101009402V</t>
  </si>
  <si>
    <t>Tensimeter</t>
  </si>
  <si>
    <t>Infrared Thermometer</t>
  </si>
  <si>
    <t>8994887001644</t>
  </si>
  <si>
    <t>YUWELL / YT-1</t>
  </si>
  <si>
    <t>DI HAPUS (JUNK)</t>
  </si>
  <si>
    <t>TANGGAL</t>
  </si>
  <si>
    <t>LEPAS</t>
  </si>
  <si>
    <t>HP Pavilion 14</t>
  </si>
  <si>
    <t>5CD146LVDH</t>
  </si>
  <si>
    <t>SONY</t>
  </si>
  <si>
    <t>Satelit</t>
  </si>
  <si>
    <t>Keuangan</t>
  </si>
  <si>
    <t>Jumliani</t>
  </si>
  <si>
    <t>LILIK</t>
  </si>
  <si>
    <t>BALIK</t>
  </si>
  <si>
    <t>HUB INTERNET / MODEM</t>
  </si>
  <si>
    <t>HUAWEI</t>
  </si>
  <si>
    <t>ORBIT 2</t>
  </si>
  <si>
    <t>Bantuan BNI</t>
  </si>
  <si>
    <t>NETGEAR</t>
  </si>
  <si>
    <t>PRINTER PITA</t>
  </si>
  <si>
    <t>SARANA DAN HUM</t>
  </si>
  <si>
    <t>SARANA DAN HUMAS</t>
  </si>
  <si>
    <t>004C</t>
  </si>
  <si>
    <t>SARANA</t>
  </si>
  <si>
    <t>CREAM</t>
  </si>
  <si>
    <t>PT BADAK</t>
  </si>
  <si>
    <t>Kabid Perso</t>
  </si>
  <si>
    <t>KABID</t>
  </si>
  <si>
    <t>015A</t>
  </si>
  <si>
    <t>015B</t>
  </si>
  <si>
    <t>PENDIDIKAN</t>
  </si>
  <si>
    <t>PERSO DAN UMUM</t>
  </si>
  <si>
    <t>LCD PROYEKTOR</t>
  </si>
  <si>
    <t>INFOCUS</t>
  </si>
  <si>
    <t>005C</t>
  </si>
  <si>
    <t>HERI</t>
  </si>
  <si>
    <t>PERSO DAN HUMAS</t>
  </si>
  <si>
    <t>ORBIT Z</t>
  </si>
  <si>
    <t>SAMSUNG A13</t>
  </si>
  <si>
    <t>IMEI 1: 354 529 380 894 618</t>
  </si>
  <si>
    <t>IMEI 2 : 355 582 870 894 613</t>
  </si>
  <si>
    <t>NO HP : 0821 740 87778</t>
  </si>
  <si>
    <t>016A</t>
  </si>
  <si>
    <t>016B</t>
  </si>
  <si>
    <t>0017A</t>
  </si>
  <si>
    <t>0017B</t>
  </si>
  <si>
    <t>018A</t>
  </si>
  <si>
    <t>018B</t>
  </si>
  <si>
    <t>fIBER</t>
  </si>
  <si>
    <t>Wisdom ULTRA</t>
  </si>
  <si>
    <t>Q2HH</t>
  </si>
  <si>
    <t>RECEIVER</t>
  </si>
  <si>
    <t>AUDER PRO</t>
  </si>
  <si>
    <t>AP929WM</t>
  </si>
  <si>
    <t>HIJAU</t>
  </si>
  <si>
    <t>009C</t>
  </si>
  <si>
    <t>010C</t>
  </si>
  <si>
    <t>STANDING MIC</t>
  </si>
  <si>
    <t>Adm keuangan</t>
  </si>
  <si>
    <t xml:space="preserve">Sarpras </t>
  </si>
  <si>
    <t>bor listrik</t>
  </si>
  <si>
    <t>METABO</t>
  </si>
  <si>
    <t>LKS320</t>
  </si>
  <si>
    <t>Hitam</t>
  </si>
  <si>
    <t>Sarpras</t>
  </si>
  <si>
    <t>Kabel Roll 50 M</t>
  </si>
  <si>
    <t>Karet</t>
  </si>
  <si>
    <t>CS</t>
  </si>
  <si>
    <t>Kabel</t>
  </si>
  <si>
    <t>Kabel Listrik</t>
  </si>
  <si>
    <t>Kenmaster (NP;2-101-116-220267)</t>
  </si>
  <si>
    <t>Di Junk</t>
  </si>
  <si>
    <t>014A</t>
  </si>
  <si>
    <t>019B</t>
  </si>
  <si>
    <t>Kabid PLS</t>
  </si>
  <si>
    <t>020B</t>
  </si>
  <si>
    <t>Adm PLS</t>
  </si>
  <si>
    <t>019A</t>
  </si>
  <si>
    <t>021B</t>
  </si>
  <si>
    <t>Server</t>
  </si>
  <si>
    <t>021A</t>
  </si>
  <si>
    <t>HP Laser Jet P1005</t>
  </si>
  <si>
    <t>VNFGL19886</t>
  </si>
  <si>
    <t>di Junk</t>
  </si>
  <si>
    <t>KH</t>
  </si>
  <si>
    <t>CNF1Z25029</t>
  </si>
  <si>
    <t>Epson L3110</t>
  </si>
  <si>
    <t>X6NX136187</t>
  </si>
  <si>
    <t>HP Laser Jet CP1025</t>
  </si>
  <si>
    <t>EPSON LX 310</t>
  </si>
  <si>
    <t>QYFY065035</t>
  </si>
  <si>
    <t>X5DX070809</t>
  </si>
  <si>
    <t>X5DX097563</t>
  </si>
  <si>
    <t>X5DX134708</t>
  </si>
  <si>
    <t>X6NX248545</t>
  </si>
  <si>
    <t>Epson L350</t>
  </si>
  <si>
    <t>TERSEBUNYI</t>
  </si>
  <si>
    <t>Canon PIXMA MP 258</t>
  </si>
  <si>
    <t>QC36376DB01-01</t>
  </si>
  <si>
    <t>Epson L1300</t>
  </si>
  <si>
    <t>UB 9Y001140</t>
  </si>
  <si>
    <t>BROTHER MFC-J430W</t>
  </si>
  <si>
    <t>E70441E2F171537</t>
  </si>
  <si>
    <t>E70441E2F171577</t>
  </si>
  <si>
    <t>E70441K1F179693</t>
  </si>
  <si>
    <t>HP LASER JET 3030</t>
  </si>
  <si>
    <t>CNBSB53389</t>
  </si>
  <si>
    <t>ADM USAHA</t>
  </si>
  <si>
    <t>CANON PIXMA MP 145</t>
  </si>
  <si>
    <t>QC2-2862 DB 02-01</t>
  </si>
  <si>
    <t>CIKINI</t>
  </si>
  <si>
    <t>CANON PIXMA MP 237</t>
  </si>
  <si>
    <t>QC4-2979</t>
  </si>
  <si>
    <t>CANON PIXMA IP 1880</t>
  </si>
  <si>
    <t>QC2-5529-DB01-01</t>
  </si>
  <si>
    <t>QC4-4500-DB01-01</t>
  </si>
  <si>
    <t>Epson L5290</t>
  </si>
  <si>
    <t>X8H4107141</t>
  </si>
  <si>
    <t>BROTHER P-touch P900W</t>
  </si>
  <si>
    <t>ADM Usaha</t>
  </si>
  <si>
    <t>HP Laser Jet M102a</t>
  </si>
  <si>
    <t>SAMSUNG A15</t>
  </si>
  <si>
    <t>ADM PERSO</t>
  </si>
  <si>
    <t>NO HP : 0857 9671 7430</t>
  </si>
  <si>
    <t>DAFTAR ELECKTRONIK</t>
  </si>
  <si>
    <t>Personalia</t>
  </si>
  <si>
    <t>Dino C22</t>
  </si>
  <si>
    <t>Sarana</t>
  </si>
  <si>
    <t>A1360546</t>
  </si>
  <si>
    <t>HSM 70.2</t>
  </si>
  <si>
    <t>GURINDA LISTRIK</t>
  </si>
  <si>
    <t>MAKITA</t>
  </si>
  <si>
    <t>M0910B</t>
  </si>
  <si>
    <t>BOR LISTRIK/GURINDA / KETAM</t>
  </si>
  <si>
    <t>013  BOR LISTRIK/GURINDA / KETAM</t>
  </si>
  <si>
    <t>BOSCH</t>
  </si>
  <si>
    <t>GHO 6500</t>
  </si>
  <si>
    <t>Ketam Listrik</t>
  </si>
  <si>
    <t>Abu- Hitam</t>
  </si>
  <si>
    <t>HANDYCAM/KAMERA FOTO</t>
  </si>
  <si>
    <t>HUMAS IT</t>
  </si>
  <si>
    <t>KAMERA</t>
  </si>
  <si>
    <t>CANON EOS 60D</t>
  </si>
  <si>
    <t>DJI OSMO POCKET 3</t>
  </si>
  <si>
    <t>5WTZN990021E23</t>
  </si>
  <si>
    <t>KAMERA VIDIO</t>
  </si>
  <si>
    <t>RF 35mm F1.8 MACRO</t>
  </si>
  <si>
    <t>214552002075</t>
  </si>
  <si>
    <t>LENSA KAMERA</t>
  </si>
  <si>
    <t>RF 24-105mm F4-7.1 IS STM</t>
  </si>
  <si>
    <t>215712005161</t>
  </si>
  <si>
    <t>CANON DIGITAL EOS R8</t>
  </si>
  <si>
    <t>21288022000244</t>
  </si>
  <si>
    <t>KAMERA  DIGITAL</t>
  </si>
  <si>
    <t>TRIPOD</t>
  </si>
  <si>
    <t xml:space="preserve">EASTT </t>
  </si>
  <si>
    <t>T-475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</si>
</sst>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" xfId="0" quotePrefix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14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0" fontId="0" fillId="3" borderId="14" xfId="0" quotePrefix="1" applyFill="1" applyBorder="1" applyAlignment="1">
      <alignment horizontal="center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" xfId="0" quotePrefix="1" applyFill="1" applyBorder="1" applyAlignment="1">
      <alignment horizontal="center" vertical="center"/>
    </xf>
    <xf numFmtId="0" fontId="0" fillId="0" borderId="0" xfId="0" quotePrefix="1" applyAlignment="1">
      <alignment horizontal="right"/>
    </xf>
    <xf numFmtId="0" fontId="0" fillId="2" borderId="19" xfId="0" quotePrefix="1" applyFill="1" applyBorder="1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0" xfId="0" quotePrefix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4" borderId="20" xfId="0" applyFill="1" applyBorder="1"/>
    <xf numFmtId="0" fontId="0" fillId="4" borderId="20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0" fontId="0" fillId="4" borderId="20" xfId="0" quotePrefix="1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" fillId="4" borderId="1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0" fillId="4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15" xfId="0" quotePrefix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2" borderId="18" xfId="0" quotePrefix="1" applyFill="1" applyBorder="1" applyAlignment="1">
      <alignment horizontal="center" vertical="center"/>
    </xf>
    <xf numFmtId="0" fontId="0" fillId="2" borderId="14" xfId="0" quotePrefix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quotePrefix="1" applyFill="1" applyBorder="1" applyAlignment="1">
      <alignment horizontal="center"/>
    </xf>
    <xf numFmtId="0" fontId="0" fillId="0" borderId="16" xfId="0" quotePrefix="1" applyBorder="1" applyAlignment="1">
      <alignment horizontal="center" vertical="center"/>
    </xf>
    <xf numFmtId="0" fontId="0" fillId="0" borderId="15" xfId="0" applyBorder="1"/>
    <xf numFmtId="0" fontId="0" fillId="2" borderId="1" xfId="0" quotePrefix="1" applyFill="1" applyBorder="1"/>
    <xf numFmtId="0" fontId="0" fillId="2" borderId="1" xfId="0" applyFill="1" applyBorder="1" applyAlignment="1">
      <alignment horizontal="center" vertical="center"/>
    </xf>
    <xf numFmtId="0" fontId="6" fillId="4" borderId="14" xfId="0" quotePrefix="1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0" fontId="0" fillId="3" borderId="15" xfId="0" quotePrefix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16" xfId="0" quotePrefix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/>
    <xf numFmtId="0" fontId="0" fillId="2" borderId="13" xfId="0" applyFill="1" applyBorder="1" applyAlignment="1">
      <alignment horizontal="center"/>
    </xf>
    <xf numFmtId="0" fontId="6" fillId="4" borderId="18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vertical="center" wrapText="1"/>
    </xf>
    <xf numFmtId="0" fontId="6" fillId="4" borderId="17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0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0" borderId="17" xfId="0" applyBorder="1"/>
    <xf numFmtId="0" fontId="0" fillId="3" borderId="17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quotePrefix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0" xfId="0" applyFill="1"/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5" borderId="1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0" fontId="0" fillId="6" borderId="17" xfId="0" applyFill="1" applyBorder="1"/>
    <xf numFmtId="0" fontId="0" fillId="6" borderId="15" xfId="0" applyFill="1" applyBorder="1" applyAlignment="1">
      <alignment horizontal="center"/>
    </xf>
    <xf numFmtId="0" fontId="0" fillId="5" borderId="17" xfId="0" applyFill="1" applyBorder="1"/>
    <xf numFmtId="0" fontId="0" fillId="6" borderId="19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7" borderId="12" xfId="0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7" xfId="0" applyFill="1" applyBorder="1"/>
    <xf numFmtId="0" fontId="0" fillId="7" borderId="19" xfId="0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0" fillId="2" borderId="19" xfId="0" applyFill="1" applyBorder="1" applyAlignment="1">
      <alignment horizontal="center" vertical="center"/>
    </xf>
    <xf numFmtId="0" fontId="0" fillId="2" borderId="17" xfId="0" quotePrefix="1" applyFill="1" applyBorder="1" applyAlignment="1">
      <alignment horizontal="center" vertical="center"/>
    </xf>
    <xf numFmtId="0" fontId="0" fillId="2" borderId="20" xfId="0" applyFill="1" applyBorder="1" applyAlignment="1">
      <alignment horizontal="left"/>
    </xf>
    <xf numFmtId="0" fontId="0" fillId="2" borderId="20" xfId="0" applyFill="1" applyBorder="1"/>
    <xf numFmtId="0" fontId="0" fillId="2" borderId="20" xfId="0" applyFill="1" applyBorder="1" applyAlignment="1">
      <alignment horizontal="center"/>
    </xf>
    <xf numFmtId="0" fontId="0" fillId="2" borderId="20" xfId="0" quotePrefix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quotePrefix="1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0" borderId="21" xfId="0" applyBorder="1"/>
    <xf numFmtId="0" fontId="0" fillId="2" borderId="0" xfId="0" applyFill="1" applyAlignment="1">
      <alignment horizontal="center"/>
    </xf>
    <xf numFmtId="0" fontId="0" fillId="2" borderId="14" xfId="0" applyFill="1" applyBorder="1"/>
    <xf numFmtId="0" fontId="0" fillId="2" borderId="20" xfId="0" applyFill="1" applyBorder="1" applyAlignment="1">
      <alignment horizontal="center" vertical="center"/>
    </xf>
    <xf numFmtId="0" fontId="0" fillId="3" borderId="13" xfId="0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quotePrefix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0" fillId="9" borderId="0" xfId="0" applyFill="1"/>
    <xf numFmtId="15" fontId="0" fillId="9" borderId="1" xfId="0" applyNumberFormat="1" applyFill="1" applyBorder="1" applyAlignment="1">
      <alignment horizontal="center"/>
    </xf>
    <xf numFmtId="15" fontId="0" fillId="9" borderId="1" xfId="0" applyNumberForma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2" borderId="17" xfId="0" applyFill="1" applyBorder="1" applyAlignment="1">
      <alignment horizontal="left"/>
    </xf>
    <xf numFmtId="15" fontId="0" fillId="0" borderId="1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8" xfId="0" applyFill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7" borderId="15" xfId="0" quotePrefix="1" applyFill="1" applyBorder="1" applyAlignment="1">
      <alignment horizontal="center" vertical="center"/>
    </xf>
    <xf numFmtId="0" fontId="0" fillId="7" borderId="2" xfId="0" quotePrefix="1" applyFill="1" applyBorder="1" applyAlignment="1">
      <alignment horizontal="center" vertical="center"/>
    </xf>
    <xf numFmtId="0" fontId="0" fillId="7" borderId="16" xfId="0" quotePrefix="1" applyFill="1" applyBorder="1" applyAlignment="1">
      <alignment horizontal="center" vertical="center"/>
    </xf>
    <xf numFmtId="0" fontId="0" fillId="7" borderId="13" xfId="0" applyFill="1" applyBorder="1"/>
    <xf numFmtId="0" fontId="0" fillId="7" borderId="13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6" fillId="4" borderId="18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54"/>
  <sheetViews>
    <sheetView tabSelected="1" zoomScale="85" zoomScaleNormal="85" workbookViewId="0">
      <pane ySplit="14" topLeftCell="A105" activePane="bottomLeft" state="frozen"/>
      <selection activeCell="R120" sqref="R120"/>
      <selection pane="bottomLeft" activeCell="R120" sqref="R120"/>
    </sheetView>
  </sheetViews>
  <sheetFormatPr defaultRowHeight="14.4" x14ac:dyDescent="0.3"/>
  <cols>
    <col min="1" max="1" width="6" style="4" customWidth="1"/>
    <col min="2" max="3" width="3" style="4" bestFit="1" customWidth="1"/>
    <col min="4" max="4" width="4" style="4" bestFit="1" customWidth="1"/>
    <col min="5" max="5" width="6" style="4" customWidth="1"/>
    <col min="6" max="6" width="6" bestFit="1" customWidth="1"/>
    <col min="7" max="7" width="24.33203125" customWidth="1"/>
    <col min="8" max="8" width="24.44140625" bestFit="1" customWidth="1"/>
    <col min="10" max="10" width="14" customWidth="1"/>
    <col min="15" max="15" width="20.109375" bestFit="1" customWidth="1"/>
    <col min="16" max="16" width="8.44140625" customWidth="1"/>
    <col min="17" max="17" width="25.88671875" bestFit="1" customWidth="1"/>
    <col min="18" max="19" width="14.88671875" customWidth="1"/>
    <col min="20" max="20" width="13.6640625" style="4" bestFit="1" customWidth="1"/>
  </cols>
  <sheetData>
    <row r="1" spans="1:22" ht="18" x14ac:dyDescent="0.3">
      <c r="A1" s="189" t="s">
        <v>445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</row>
    <row r="3" spans="1:22" s="8" customFormat="1" ht="15.6" x14ac:dyDescent="0.3">
      <c r="A3" s="7" t="s">
        <v>0</v>
      </c>
      <c r="B3" s="9" t="s">
        <v>10</v>
      </c>
      <c r="C3" s="6"/>
      <c r="D3" s="6"/>
      <c r="E3" s="6"/>
      <c r="F3" s="6" t="s">
        <v>23</v>
      </c>
      <c r="G3" s="9" t="s">
        <v>35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s="8" customFormat="1" ht="15.6" x14ac:dyDescent="0.3">
      <c r="A4" s="7" t="s">
        <v>1</v>
      </c>
      <c r="B4" s="9" t="s">
        <v>36</v>
      </c>
      <c r="C4" s="6"/>
      <c r="D4" s="6"/>
      <c r="E4" s="6"/>
      <c r="F4" s="6" t="s">
        <v>23</v>
      </c>
      <c r="G4" s="9" t="s">
        <v>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x14ac:dyDescent="0.3">
      <c r="A5" s="21" t="s">
        <v>38</v>
      </c>
      <c r="B5"/>
      <c r="F5" s="3" t="s">
        <v>23</v>
      </c>
    </row>
    <row r="6" spans="1:22" x14ac:dyDescent="0.3">
      <c r="A6" s="2" t="s">
        <v>284</v>
      </c>
      <c r="B6"/>
      <c r="C6"/>
      <c r="D6"/>
      <c r="F6" s="1"/>
      <c r="G6" s="2" t="s">
        <v>280</v>
      </c>
      <c r="H6" s="37"/>
      <c r="I6" t="s">
        <v>276</v>
      </c>
      <c r="K6" s="1"/>
      <c r="L6" s="2" t="s">
        <v>272</v>
      </c>
      <c r="N6" s="1"/>
      <c r="O6" s="2" t="s">
        <v>277</v>
      </c>
    </row>
    <row r="7" spans="1:22" x14ac:dyDescent="0.3">
      <c r="A7" s="2" t="s">
        <v>289</v>
      </c>
      <c r="B7"/>
      <c r="C7"/>
      <c r="D7"/>
      <c r="F7" s="1"/>
      <c r="G7" s="2" t="s">
        <v>292</v>
      </c>
      <c r="H7" s="37"/>
      <c r="I7" t="s">
        <v>269</v>
      </c>
      <c r="K7" s="1"/>
      <c r="L7" s="2" t="s">
        <v>273</v>
      </c>
      <c r="N7" s="1"/>
      <c r="O7" s="2" t="s">
        <v>278</v>
      </c>
    </row>
    <row r="8" spans="1:22" x14ac:dyDescent="0.3">
      <c r="A8" s="2" t="s">
        <v>285</v>
      </c>
      <c r="B8"/>
      <c r="C8"/>
      <c r="D8"/>
      <c r="F8" s="1"/>
      <c r="G8" s="2" t="s">
        <v>281</v>
      </c>
      <c r="H8" s="37"/>
      <c r="I8" t="s">
        <v>455</v>
      </c>
      <c r="K8" s="1"/>
      <c r="L8" s="2" t="s">
        <v>305</v>
      </c>
      <c r="N8" s="1"/>
      <c r="O8" s="2" t="s">
        <v>279</v>
      </c>
    </row>
    <row r="9" spans="1:22" x14ac:dyDescent="0.3">
      <c r="A9" s="2" t="s">
        <v>286</v>
      </c>
      <c r="B9"/>
      <c r="C9"/>
      <c r="D9"/>
      <c r="F9" s="1"/>
      <c r="G9" s="2" t="s">
        <v>282</v>
      </c>
      <c r="H9" s="37"/>
      <c r="I9" t="s">
        <v>270</v>
      </c>
      <c r="K9" s="1"/>
      <c r="L9" s="2" t="s">
        <v>274</v>
      </c>
      <c r="N9" s="1"/>
      <c r="O9" s="2" t="s">
        <v>311</v>
      </c>
    </row>
    <row r="10" spans="1:22" x14ac:dyDescent="0.3">
      <c r="A10" s="2" t="s">
        <v>291</v>
      </c>
      <c r="B10"/>
      <c r="F10" s="1"/>
      <c r="G10" s="2" t="s">
        <v>283</v>
      </c>
      <c r="H10" s="37"/>
      <c r="I10" t="s">
        <v>271</v>
      </c>
      <c r="K10" s="1"/>
      <c r="L10" s="2" t="s">
        <v>275</v>
      </c>
    </row>
    <row r="11" spans="1:22" ht="16.2" thickBot="1" x14ac:dyDescent="0.35">
      <c r="F11" s="10"/>
      <c r="H11" s="3"/>
    </row>
    <row r="12" spans="1:22" ht="15.75" customHeight="1" thickTop="1" x14ac:dyDescent="0.3">
      <c r="A12" s="190" t="s">
        <v>11</v>
      </c>
      <c r="B12" s="196" t="s">
        <v>39</v>
      </c>
      <c r="C12" s="199"/>
      <c r="D12" s="199"/>
      <c r="E12" s="199"/>
      <c r="F12" s="200"/>
      <c r="G12" s="192" t="s">
        <v>21</v>
      </c>
      <c r="H12" s="192" t="s">
        <v>12</v>
      </c>
      <c r="I12" s="194" t="s">
        <v>13</v>
      </c>
      <c r="J12" s="192" t="s">
        <v>40</v>
      </c>
      <c r="K12" s="192" t="s">
        <v>20</v>
      </c>
      <c r="L12" s="203" t="s">
        <v>14</v>
      </c>
      <c r="M12" s="204"/>
      <c r="N12" s="205"/>
      <c r="O12" s="192" t="s">
        <v>22</v>
      </c>
      <c r="P12" s="196" t="s">
        <v>15</v>
      </c>
      <c r="Q12" s="196" t="s">
        <v>120</v>
      </c>
      <c r="R12" s="198" t="s">
        <v>113</v>
      </c>
      <c r="S12" s="198" t="s">
        <v>310</v>
      </c>
      <c r="T12" s="198"/>
    </row>
    <row r="13" spans="1:22" ht="39.6" x14ac:dyDescent="0.3">
      <c r="A13" s="191"/>
      <c r="B13" s="197"/>
      <c r="C13" s="201"/>
      <c r="D13" s="201"/>
      <c r="E13" s="201"/>
      <c r="F13" s="202"/>
      <c r="G13" s="193"/>
      <c r="H13" s="193"/>
      <c r="I13" s="195"/>
      <c r="J13" s="193"/>
      <c r="K13" s="193"/>
      <c r="L13" s="31" t="s">
        <v>16</v>
      </c>
      <c r="M13" s="31" t="s">
        <v>17</v>
      </c>
      <c r="N13" s="31" t="s">
        <v>18</v>
      </c>
      <c r="O13" s="193"/>
      <c r="P13" s="197"/>
      <c r="Q13" s="197"/>
      <c r="R13" s="198"/>
      <c r="S13" s="31" t="s">
        <v>324</v>
      </c>
      <c r="T13" s="31" t="s">
        <v>325</v>
      </c>
    </row>
    <row r="14" spans="1:22" x14ac:dyDescent="0.3">
      <c r="A14" s="73" t="s">
        <v>24</v>
      </c>
      <c r="B14" s="183" t="s">
        <v>179</v>
      </c>
      <c r="C14" s="184"/>
      <c r="D14" s="184"/>
      <c r="E14" s="184"/>
      <c r="F14" s="185"/>
      <c r="G14" s="74"/>
      <c r="H14" s="74"/>
      <c r="I14" s="75"/>
      <c r="J14" s="74"/>
      <c r="K14" s="74"/>
      <c r="L14" s="76"/>
      <c r="M14" s="76"/>
      <c r="N14" s="76"/>
      <c r="O14" s="74"/>
      <c r="P14" s="77"/>
      <c r="Q14" s="77"/>
      <c r="R14" s="76"/>
      <c r="S14" s="76"/>
      <c r="T14" s="76"/>
    </row>
    <row r="15" spans="1:22" x14ac:dyDescent="0.3">
      <c r="A15" s="22">
        <v>1</v>
      </c>
      <c r="B15" s="16" t="str">
        <f t="shared" ref="B15:B64" si="0">$A$3</f>
        <v>01</v>
      </c>
      <c r="C15" s="16" t="str">
        <f t="shared" ref="C15:C64" si="1">$A$4</f>
        <v>03</v>
      </c>
      <c r="D15" s="16" t="s">
        <v>24</v>
      </c>
      <c r="E15" s="16" t="s">
        <v>24</v>
      </c>
      <c r="F15" s="16">
        <f t="shared" ref="F15:F24" si="2">J15</f>
        <v>2019</v>
      </c>
      <c r="G15" s="14" t="s">
        <v>46</v>
      </c>
      <c r="H15" s="13" t="s">
        <v>47</v>
      </c>
      <c r="I15" s="13" t="s">
        <v>45</v>
      </c>
      <c r="J15" s="14">
        <v>2019</v>
      </c>
      <c r="K15" s="14">
        <v>1</v>
      </c>
      <c r="L15" s="14" t="s">
        <v>42</v>
      </c>
      <c r="M15" s="15" t="s">
        <v>19</v>
      </c>
      <c r="N15" s="15" t="s">
        <v>19</v>
      </c>
      <c r="O15" s="14" t="s">
        <v>111</v>
      </c>
      <c r="P15" s="33"/>
      <c r="Q15" s="33" t="s">
        <v>123</v>
      </c>
      <c r="R15" s="14" t="s">
        <v>3</v>
      </c>
      <c r="S15" s="14"/>
      <c r="T15" s="22"/>
    </row>
    <row r="16" spans="1:22" x14ac:dyDescent="0.3">
      <c r="A16" s="28">
        <f>A15+1</f>
        <v>2</v>
      </c>
      <c r="B16" s="32" t="str">
        <f t="shared" si="0"/>
        <v>01</v>
      </c>
      <c r="C16" s="32" t="str">
        <f t="shared" si="1"/>
        <v>03</v>
      </c>
      <c r="D16" s="32" t="s">
        <v>24</v>
      </c>
      <c r="E16" s="32" t="s">
        <v>27</v>
      </c>
      <c r="F16" s="32">
        <f t="shared" si="2"/>
        <v>2019</v>
      </c>
      <c r="G16" s="29" t="s">
        <v>46</v>
      </c>
      <c r="H16" s="27" t="s">
        <v>48</v>
      </c>
      <c r="I16" s="27" t="s">
        <v>45</v>
      </c>
      <c r="J16" s="29">
        <v>2019</v>
      </c>
      <c r="K16" s="29">
        <v>1</v>
      </c>
      <c r="L16" s="29" t="s">
        <v>42</v>
      </c>
      <c r="M16" s="30" t="s">
        <v>19</v>
      </c>
      <c r="N16" s="30" t="s">
        <v>19</v>
      </c>
      <c r="O16" s="29" t="s">
        <v>112</v>
      </c>
      <c r="P16" s="34"/>
      <c r="Q16" s="34" t="s">
        <v>123</v>
      </c>
      <c r="R16" s="29"/>
      <c r="S16" s="29"/>
      <c r="T16" s="22"/>
    </row>
    <row r="17" spans="1:21" x14ac:dyDescent="0.3">
      <c r="A17" s="114">
        <f t="shared" ref="A17:A40" si="3">A16+1</f>
        <v>3</v>
      </c>
      <c r="B17" s="112" t="str">
        <f t="shared" si="0"/>
        <v>01</v>
      </c>
      <c r="C17" s="112" t="str">
        <f t="shared" si="1"/>
        <v>03</v>
      </c>
      <c r="D17" s="112" t="s">
        <v>24</v>
      </c>
      <c r="E17" s="112" t="s">
        <v>153</v>
      </c>
      <c r="F17" s="112">
        <f t="shared" si="2"/>
        <v>2019</v>
      </c>
      <c r="G17" s="115" t="s">
        <v>46</v>
      </c>
      <c r="H17" s="113" t="s">
        <v>49</v>
      </c>
      <c r="I17" s="113" t="s">
        <v>45</v>
      </c>
      <c r="J17" s="115">
        <v>2019</v>
      </c>
      <c r="K17" s="115">
        <v>1</v>
      </c>
      <c r="L17" s="115" t="s">
        <v>42</v>
      </c>
      <c r="M17" s="116" t="s">
        <v>19</v>
      </c>
      <c r="N17" s="116" t="s">
        <v>19</v>
      </c>
      <c r="O17" s="115" t="s">
        <v>352</v>
      </c>
      <c r="P17" s="117"/>
      <c r="Q17" s="117" t="s">
        <v>123</v>
      </c>
      <c r="R17" s="115"/>
      <c r="S17" s="115"/>
      <c r="T17" s="114"/>
    </row>
    <row r="18" spans="1:21" s="106" customFormat="1" x14ac:dyDescent="0.3">
      <c r="A18" s="100">
        <f t="shared" si="3"/>
        <v>4</v>
      </c>
      <c r="B18" s="101" t="str">
        <f t="shared" si="0"/>
        <v>01</v>
      </c>
      <c r="C18" s="101" t="str">
        <f t="shared" si="1"/>
        <v>03</v>
      </c>
      <c r="D18" s="101" t="s">
        <v>24</v>
      </c>
      <c r="E18" s="101" t="s">
        <v>26</v>
      </c>
      <c r="F18" s="101">
        <f t="shared" si="2"/>
        <v>2019</v>
      </c>
      <c r="G18" s="102" t="s">
        <v>46</v>
      </c>
      <c r="H18" s="103" t="s">
        <v>50</v>
      </c>
      <c r="I18" s="103" t="s">
        <v>45</v>
      </c>
      <c r="J18" s="102">
        <v>2019</v>
      </c>
      <c r="K18" s="102">
        <v>1</v>
      </c>
      <c r="L18" s="102" t="s">
        <v>42</v>
      </c>
      <c r="M18" s="104" t="s">
        <v>19</v>
      </c>
      <c r="N18" s="104" t="s">
        <v>19</v>
      </c>
      <c r="O18" s="102" t="s">
        <v>351</v>
      </c>
      <c r="P18" s="105"/>
      <c r="Q18" s="105" t="s">
        <v>123</v>
      </c>
      <c r="R18" s="102" t="s">
        <v>348</v>
      </c>
      <c r="S18" s="102"/>
      <c r="T18" s="100"/>
    </row>
    <row r="19" spans="1:21" x14ac:dyDescent="0.3">
      <c r="A19" s="144">
        <f t="shared" si="3"/>
        <v>5</v>
      </c>
      <c r="B19" s="145" t="str">
        <f t="shared" si="0"/>
        <v>01</v>
      </c>
      <c r="C19" s="145" t="str">
        <f t="shared" si="1"/>
        <v>03</v>
      </c>
      <c r="D19" s="145" t="s">
        <v>24</v>
      </c>
      <c r="E19" s="145" t="s">
        <v>71</v>
      </c>
      <c r="F19" s="145">
        <f t="shared" si="2"/>
        <v>2012</v>
      </c>
      <c r="G19" s="146" t="s">
        <v>138</v>
      </c>
      <c r="H19" s="147" t="s">
        <v>19</v>
      </c>
      <c r="I19" s="147" t="s">
        <v>45</v>
      </c>
      <c r="J19" s="146">
        <v>2012</v>
      </c>
      <c r="K19" s="146">
        <v>1</v>
      </c>
      <c r="L19" s="146" t="s">
        <v>42</v>
      </c>
      <c r="M19" s="148" t="s">
        <v>19</v>
      </c>
      <c r="N19" s="148" t="s">
        <v>19</v>
      </c>
      <c r="O19" s="146" t="s">
        <v>139</v>
      </c>
      <c r="P19" s="149"/>
      <c r="Q19" s="149" t="s">
        <v>141</v>
      </c>
      <c r="R19" s="146"/>
      <c r="S19" s="146"/>
      <c r="T19" s="144"/>
    </row>
    <row r="20" spans="1:21" x14ac:dyDescent="0.3">
      <c r="A20" s="144">
        <f t="shared" si="3"/>
        <v>6</v>
      </c>
      <c r="B20" s="145" t="str">
        <f t="shared" si="0"/>
        <v>01</v>
      </c>
      <c r="C20" s="145" t="str">
        <f t="shared" si="1"/>
        <v>03</v>
      </c>
      <c r="D20" s="145" t="s">
        <v>24</v>
      </c>
      <c r="E20" s="145" t="s">
        <v>72</v>
      </c>
      <c r="F20" s="145">
        <f t="shared" si="2"/>
        <v>2012</v>
      </c>
      <c r="G20" s="146" t="s">
        <v>138</v>
      </c>
      <c r="H20" s="147" t="s">
        <v>19</v>
      </c>
      <c r="I20" s="147" t="s">
        <v>45</v>
      </c>
      <c r="J20" s="146">
        <v>2012</v>
      </c>
      <c r="K20" s="146">
        <v>1</v>
      </c>
      <c r="L20" s="146" t="s">
        <v>42</v>
      </c>
      <c r="M20" s="148" t="s">
        <v>19</v>
      </c>
      <c r="N20" s="148" t="s">
        <v>19</v>
      </c>
      <c r="O20" s="146" t="s">
        <v>139</v>
      </c>
      <c r="P20" s="149"/>
      <c r="Q20" s="149" t="s">
        <v>140</v>
      </c>
      <c r="R20" s="146"/>
      <c r="S20" s="146"/>
      <c r="T20" s="144"/>
    </row>
    <row r="21" spans="1:21" x14ac:dyDescent="0.3">
      <c r="A21" s="28">
        <f t="shared" si="3"/>
        <v>7</v>
      </c>
      <c r="B21" s="32" t="str">
        <f t="shared" si="0"/>
        <v>01</v>
      </c>
      <c r="C21" s="32" t="str">
        <f t="shared" si="1"/>
        <v>03</v>
      </c>
      <c r="D21" s="32" t="s">
        <v>24</v>
      </c>
      <c r="E21" s="32" t="s">
        <v>73</v>
      </c>
      <c r="F21" s="32">
        <f t="shared" si="2"/>
        <v>2013</v>
      </c>
      <c r="G21" s="27"/>
      <c r="H21" s="27"/>
      <c r="I21" s="27" t="s">
        <v>45</v>
      </c>
      <c r="J21" s="29">
        <v>2013</v>
      </c>
      <c r="K21" s="29">
        <v>1</v>
      </c>
      <c r="L21" s="29" t="s">
        <v>103</v>
      </c>
      <c r="M21" s="30" t="s">
        <v>19</v>
      </c>
      <c r="N21" s="30" t="s">
        <v>19</v>
      </c>
      <c r="O21" s="29" t="s">
        <v>147</v>
      </c>
      <c r="P21" s="34"/>
      <c r="Q21" s="34" t="s">
        <v>141</v>
      </c>
      <c r="R21" s="29"/>
      <c r="S21" s="29"/>
      <c r="T21" s="22"/>
    </row>
    <row r="22" spans="1:21" x14ac:dyDescent="0.3">
      <c r="A22" s="28">
        <f t="shared" si="3"/>
        <v>8</v>
      </c>
      <c r="B22" s="32" t="str">
        <f t="shared" si="0"/>
        <v>01</v>
      </c>
      <c r="C22" s="32" t="str">
        <f t="shared" si="1"/>
        <v>03</v>
      </c>
      <c r="D22" s="32" t="s">
        <v>24</v>
      </c>
      <c r="E22" s="32" t="s">
        <v>74</v>
      </c>
      <c r="F22" s="32">
        <f t="shared" si="2"/>
        <v>2013</v>
      </c>
      <c r="G22" s="27"/>
      <c r="H22" s="27"/>
      <c r="I22" s="27" t="s">
        <v>45</v>
      </c>
      <c r="J22" s="29">
        <v>2013</v>
      </c>
      <c r="K22" s="29">
        <v>1</v>
      </c>
      <c r="L22" s="29" t="s">
        <v>103</v>
      </c>
      <c r="M22" s="30" t="s">
        <v>19</v>
      </c>
      <c r="N22" s="30" t="s">
        <v>19</v>
      </c>
      <c r="O22" s="29" t="s">
        <v>147</v>
      </c>
      <c r="P22" s="34"/>
      <c r="Q22" s="34" t="s">
        <v>140</v>
      </c>
      <c r="R22" s="29"/>
      <c r="S22" s="29"/>
      <c r="T22" s="22"/>
    </row>
    <row r="23" spans="1:21" s="5" customFormat="1" x14ac:dyDescent="0.3">
      <c r="A23" s="114">
        <f t="shared" si="3"/>
        <v>9</v>
      </c>
      <c r="B23" s="112" t="str">
        <f t="shared" si="0"/>
        <v>01</v>
      </c>
      <c r="C23" s="112" t="str">
        <f t="shared" si="1"/>
        <v>03</v>
      </c>
      <c r="D23" s="112" t="s">
        <v>24</v>
      </c>
      <c r="E23" s="112" t="s">
        <v>75</v>
      </c>
      <c r="F23" s="112">
        <f t="shared" si="2"/>
        <v>2013</v>
      </c>
      <c r="G23" s="115"/>
      <c r="H23" s="113" t="s">
        <v>19</v>
      </c>
      <c r="I23" s="113" t="s">
        <v>45</v>
      </c>
      <c r="J23" s="115">
        <v>2013</v>
      </c>
      <c r="K23" s="115">
        <v>1</v>
      </c>
      <c r="L23" s="115" t="s">
        <v>42</v>
      </c>
      <c r="M23" s="116" t="s">
        <v>19</v>
      </c>
      <c r="N23" s="116" t="s">
        <v>19</v>
      </c>
      <c r="O23" s="115" t="s">
        <v>148</v>
      </c>
      <c r="P23" s="117"/>
      <c r="Q23" s="117" t="s">
        <v>141</v>
      </c>
      <c r="R23" s="115"/>
      <c r="S23" s="115"/>
      <c r="T23" s="114"/>
    </row>
    <row r="24" spans="1:21" s="5" customFormat="1" x14ac:dyDescent="0.3">
      <c r="A24" s="114">
        <f t="shared" si="3"/>
        <v>10</v>
      </c>
      <c r="B24" s="112" t="str">
        <f t="shared" si="0"/>
        <v>01</v>
      </c>
      <c r="C24" s="112" t="str">
        <f t="shared" si="1"/>
        <v>03</v>
      </c>
      <c r="D24" s="112" t="s">
        <v>24</v>
      </c>
      <c r="E24" s="112" t="s">
        <v>76</v>
      </c>
      <c r="F24" s="112">
        <f t="shared" si="2"/>
        <v>2013</v>
      </c>
      <c r="G24" s="115"/>
      <c r="H24" s="113" t="s">
        <v>19</v>
      </c>
      <c r="I24" s="113" t="s">
        <v>45</v>
      </c>
      <c r="J24" s="115">
        <v>2013</v>
      </c>
      <c r="K24" s="115">
        <v>1</v>
      </c>
      <c r="L24" s="115" t="s">
        <v>42</v>
      </c>
      <c r="M24" s="116" t="s">
        <v>19</v>
      </c>
      <c r="N24" s="116" t="s">
        <v>19</v>
      </c>
      <c r="O24" s="115" t="s">
        <v>148</v>
      </c>
      <c r="P24" s="117"/>
      <c r="Q24" s="117" t="s">
        <v>140</v>
      </c>
      <c r="R24" s="115"/>
      <c r="S24" s="115"/>
      <c r="T24" s="114"/>
    </row>
    <row r="25" spans="1:21" x14ac:dyDescent="0.3">
      <c r="A25" s="28">
        <f t="shared" si="3"/>
        <v>11</v>
      </c>
      <c r="B25" s="32" t="str">
        <f t="shared" si="0"/>
        <v>01</v>
      </c>
      <c r="C25" s="32" t="str">
        <f t="shared" si="1"/>
        <v>03</v>
      </c>
      <c r="D25" s="32" t="s">
        <v>24</v>
      </c>
      <c r="E25" s="32" t="s">
        <v>77</v>
      </c>
      <c r="F25" s="32">
        <f t="shared" ref="F25:F28" si="4">J25</f>
        <v>2015</v>
      </c>
      <c r="G25" s="27"/>
      <c r="H25" s="27"/>
      <c r="I25" s="27" t="s">
        <v>45</v>
      </c>
      <c r="J25" s="29">
        <v>2015</v>
      </c>
      <c r="K25" s="29">
        <v>1</v>
      </c>
      <c r="L25" s="29" t="s">
        <v>103</v>
      </c>
      <c r="M25" s="30" t="s">
        <v>19</v>
      </c>
      <c r="N25" s="30" t="s">
        <v>19</v>
      </c>
      <c r="O25" s="29" t="s">
        <v>192</v>
      </c>
      <c r="P25" s="34"/>
      <c r="Q25" s="34" t="s">
        <v>141</v>
      </c>
      <c r="R25" s="29"/>
      <c r="S25" s="29"/>
      <c r="T25" s="22"/>
    </row>
    <row r="26" spans="1:21" x14ac:dyDescent="0.3">
      <c r="A26" s="159">
        <f t="shared" si="3"/>
        <v>12</v>
      </c>
      <c r="B26" s="160" t="str">
        <f t="shared" si="0"/>
        <v>01</v>
      </c>
      <c r="C26" s="160" t="str">
        <f t="shared" si="1"/>
        <v>03</v>
      </c>
      <c r="D26" s="160" t="s">
        <v>24</v>
      </c>
      <c r="E26" s="160" t="s">
        <v>78</v>
      </c>
      <c r="F26" s="160">
        <f t="shared" si="4"/>
        <v>2015</v>
      </c>
      <c r="G26" s="162"/>
      <c r="H26" s="162"/>
      <c r="I26" s="162" t="s">
        <v>45</v>
      </c>
      <c r="J26" s="161">
        <v>2015</v>
      </c>
      <c r="K26" s="161">
        <v>1</v>
      </c>
      <c r="L26" s="161" t="s">
        <v>103</v>
      </c>
      <c r="M26" s="163" t="s">
        <v>19</v>
      </c>
      <c r="N26" s="163" t="s">
        <v>19</v>
      </c>
      <c r="O26" s="161" t="s">
        <v>192</v>
      </c>
      <c r="P26" s="164"/>
      <c r="Q26" s="164" t="s">
        <v>140</v>
      </c>
      <c r="R26" s="161"/>
      <c r="S26" s="161"/>
      <c r="T26" s="159"/>
    </row>
    <row r="27" spans="1:21" x14ac:dyDescent="0.3">
      <c r="A27" s="132">
        <f t="shared" si="3"/>
        <v>13</v>
      </c>
      <c r="B27" s="126" t="str">
        <f t="shared" si="0"/>
        <v>01</v>
      </c>
      <c r="C27" s="126" t="str">
        <f t="shared" si="1"/>
        <v>03</v>
      </c>
      <c r="D27" s="126" t="s">
        <v>24</v>
      </c>
      <c r="E27" s="126" t="s">
        <v>79</v>
      </c>
      <c r="F27" s="126">
        <f t="shared" si="4"/>
        <v>2015</v>
      </c>
      <c r="G27" s="128"/>
      <c r="H27" s="127" t="s">
        <v>19</v>
      </c>
      <c r="I27" s="127" t="s">
        <v>45</v>
      </c>
      <c r="J27" s="128">
        <v>2015</v>
      </c>
      <c r="K27" s="128">
        <v>1</v>
      </c>
      <c r="L27" s="128" t="s">
        <v>42</v>
      </c>
      <c r="M27" s="129" t="s">
        <v>19</v>
      </c>
      <c r="N27" s="129" t="s">
        <v>19</v>
      </c>
      <c r="O27" s="128" t="s">
        <v>218</v>
      </c>
      <c r="P27" s="130"/>
      <c r="Q27" s="130" t="s">
        <v>141</v>
      </c>
      <c r="R27" s="128"/>
      <c r="S27" s="128"/>
      <c r="T27" s="132"/>
    </row>
    <row r="28" spans="1:21" x14ac:dyDescent="0.3">
      <c r="A28" s="132">
        <f t="shared" si="3"/>
        <v>14</v>
      </c>
      <c r="B28" s="126" t="str">
        <f t="shared" si="0"/>
        <v>01</v>
      </c>
      <c r="C28" s="126" t="str">
        <f t="shared" si="1"/>
        <v>03</v>
      </c>
      <c r="D28" s="126" t="s">
        <v>24</v>
      </c>
      <c r="E28" s="126" t="s">
        <v>80</v>
      </c>
      <c r="F28" s="126">
        <f t="shared" si="4"/>
        <v>2015</v>
      </c>
      <c r="G28" s="128"/>
      <c r="H28" s="127" t="s">
        <v>19</v>
      </c>
      <c r="I28" s="127" t="s">
        <v>45</v>
      </c>
      <c r="J28" s="128">
        <v>2015</v>
      </c>
      <c r="K28" s="128">
        <v>1</v>
      </c>
      <c r="L28" s="128" t="s">
        <v>42</v>
      </c>
      <c r="M28" s="129" t="s">
        <v>19</v>
      </c>
      <c r="N28" s="129" t="s">
        <v>19</v>
      </c>
      <c r="O28" s="128" t="s">
        <v>218</v>
      </c>
      <c r="P28" s="130"/>
      <c r="Q28" s="130" t="s">
        <v>140</v>
      </c>
      <c r="R28" s="128"/>
      <c r="S28" s="128"/>
      <c r="T28" s="132"/>
    </row>
    <row r="29" spans="1:21" x14ac:dyDescent="0.3">
      <c r="A29" s="132">
        <f t="shared" si="3"/>
        <v>15</v>
      </c>
      <c r="B29" s="126" t="str">
        <f t="shared" si="0"/>
        <v>01</v>
      </c>
      <c r="C29" s="126" t="str">
        <f t="shared" si="1"/>
        <v>03</v>
      </c>
      <c r="D29" s="126" t="s">
        <v>24</v>
      </c>
      <c r="E29" s="126" t="s">
        <v>219</v>
      </c>
      <c r="F29" s="126">
        <f t="shared" ref="F29:F32" si="5">J29</f>
        <v>2015</v>
      </c>
      <c r="G29" s="127"/>
      <c r="H29" s="127"/>
      <c r="I29" s="127" t="s">
        <v>45</v>
      </c>
      <c r="J29" s="128">
        <v>2015</v>
      </c>
      <c r="K29" s="128">
        <v>1</v>
      </c>
      <c r="L29" s="128" t="s">
        <v>103</v>
      </c>
      <c r="M29" s="129" t="s">
        <v>19</v>
      </c>
      <c r="N29" s="129" t="s">
        <v>19</v>
      </c>
      <c r="O29" s="128" t="s">
        <v>221</v>
      </c>
      <c r="P29" s="130"/>
      <c r="Q29" s="130" t="s">
        <v>141</v>
      </c>
      <c r="R29" s="128"/>
      <c r="S29" s="128"/>
      <c r="T29" s="132"/>
    </row>
    <row r="30" spans="1:21" x14ac:dyDescent="0.3">
      <c r="A30" s="132">
        <f t="shared" si="3"/>
        <v>16</v>
      </c>
      <c r="B30" s="126" t="str">
        <f t="shared" si="0"/>
        <v>01</v>
      </c>
      <c r="C30" s="126" t="str">
        <f t="shared" si="1"/>
        <v>03</v>
      </c>
      <c r="D30" s="126" t="s">
        <v>24</v>
      </c>
      <c r="E30" s="126" t="s">
        <v>220</v>
      </c>
      <c r="F30" s="126">
        <f t="shared" si="5"/>
        <v>2015</v>
      </c>
      <c r="G30" s="127"/>
      <c r="H30" s="127"/>
      <c r="I30" s="127" t="s">
        <v>45</v>
      </c>
      <c r="J30" s="128">
        <v>2015</v>
      </c>
      <c r="K30" s="128">
        <v>1</v>
      </c>
      <c r="L30" s="128" t="s">
        <v>103</v>
      </c>
      <c r="M30" s="129" t="s">
        <v>19</v>
      </c>
      <c r="N30" s="129" t="s">
        <v>19</v>
      </c>
      <c r="O30" s="128" t="s">
        <v>222</v>
      </c>
      <c r="P30" s="130"/>
      <c r="Q30" s="130" t="s">
        <v>140</v>
      </c>
      <c r="R30" s="128"/>
      <c r="S30" s="128"/>
      <c r="T30" s="132"/>
    </row>
    <row r="31" spans="1:21" x14ac:dyDescent="0.3">
      <c r="A31" s="159">
        <f t="shared" si="3"/>
        <v>17</v>
      </c>
      <c r="B31" s="160" t="str">
        <f t="shared" si="0"/>
        <v>01</v>
      </c>
      <c r="C31" s="160" t="str">
        <f t="shared" si="1"/>
        <v>03</v>
      </c>
      <c r="D31" s="160" t="s">
        <v>24</v>
      </c>
      <c r="E31" s="160" t="s">
        <v>223</v>
      </c>
      <c r="F31" s="160">
        <f t="shared" si="5"/>
        <v>2015</v>
      </c>
      <c r="G31" s="161" t="s">
        <v>138</v>
      </c>
      <c r="H31" s="162" t="s">
        <v>19</v>
      </c>
      <c r="I31" s="162" t="s">
        <v>45</v>
      </c>
      <c r="J31" s="161">
        <v>2015</v>
      </c>
      <c r="K31" s="161">
        <v>1</v>
      </c>
      <c r="L31" s="161" t="s">
        <v>42</v>
      </c>
      <c r="M31" s="163" t="s">
        <v>19</v>
      </c>
      <c r="N31" s="163" t="s">
        <v>19</v>
      </c>
      <c r="O31" s="161" t="s">
        <v>218</v>
      </c>
      <c r="P31" s="164"/>
      <c r="Q31" s="164" t="s">
        <v>141</v>
      </c>
      <c r="R31" s="161"/>
      <c r="S31" s="166" t="s">
        <v>392</v>
      </c>
      <c r="T31" s="167">
        <v>45548</v>
      </c>
      <c r="U31" s="165"/>
    </row>
    <row r="32" spans="1:21" x14ac:dyDescent="0.3">
      <c r="A32" s="159">
        <f t="shared" si="3"/>
        <v>18</v>
      </c>
      <c r="B32" s="160" t="str">
        <f t="shared" si="0"/>
        <v>01</v>
      </c>
      <c r="C32" s="160" t="str">
        <f t="shared" si="1"/>
        <v>03</v>
      </c>
      <c r="D32" s="160" t="s">
        <v>24</v>
      </c>
      <c r="E32" s="160" t="s">
        <v>224</v>
      </c>
      <c r="F32" s="160">
        <f t="shared" si="5"/>
        <v>2015</v>
      </c>
      <c r="G32" s="161"/>
      <c r="H32" s="162" t="s">
        <v>19</v>
      </c>
      <c r="I32" s="162" t="s">
        <v>45</v>
      </c>
      <c r="J32" s="161">
        <v>2015</v>
      </c>
      <c r="K32" s="161">
        <v>1</v>
      </c>
      <c r="L32" s="161" t="s">
        <v>42</v>
      </c>
      <c r="M32" s="163" t="s">
        <v>19</v>
      </c>
      <c r="N32" s="163" t="s">
        <v>19</v>
      </c>
      <c r="O32" s="161" t="s">
        <v>218</v>
      </c>
      <c r="P32" s="164"/>
      <c r="Q32" s="164" t="s">
        <v>140</v>
      </c>
      <c r="R32" s="161"/>
      <c r="S32" s="166" t="s">
        <v>392</v>
      </c>
      <c r="T32" s="167">
        <v>45548</v>
      </c>
      <c r="U32" s="165"/>
    </row>
    <row r="33" spans="1:21" x14ac:dyDescent="0.3">
      <c r="A33" s="28">
        <f t="shared" si="3"/>
        <v>19</v>
      </c>
      <c r="B33" s="32" t="str">
        <f t="shared" si="0"/>
        <v>01</v>
      </c>
      <c r="C33" s="32" t="str">
        <f t="shared" si="1"/>
        <v>03</v>
      </c>
      <c r="D33" s="32" t="s">
        <v>24</v>
      </c>
      <c r="E33" s="32" t="s">
        <v>252</v>
      </c>
      <c r="F33" s="32">
        <f t="shared" ref="F33:F36" si="6">J33</f>
        <v>2015</v>
      </c>
      <c r="G33" s="27"/>
      <c r="H33" s="27"/>
      <c r="I33" s="27" t="s">
        <v>45</v>
      </c>
      <c r="J33" s="29">
        <v>2015</v>
      </c>
      <c r="K33" s="29">
        <v>1</v>
      </c>
      <c r="L33" s="29" t="s">
        <v>103</v>
      </c>
      <c r="M33" s="30" t="s">
        <v>19</v>
      </c>
      <c r="N33" s="30" t="s">
        <v>19</v>
      </c>
      <c r="O33" s="29" t="s">
        <v>254</v>
      </c>
      <c r="P33" s="34"/>
      <c r="Q33" s="34" t="s">
        <v>141</v>
      </c>
      <c r="R33" s="29"/>
      <c r="S33" s="29"/>
      <c r="T33" s="22"/>
    </row>
    <row r="34" spans="1:21" x14ac:dyDescent="0.3">
      <c r="A34" s="159">
        <f t="shared" si="3"/>
        <v>20</v>
      </c>
      <c r="B34" s="160" t="str">
        <f t="shared" si="0"/>
        <v>01</v>
      </c>
      <c r="C34" s="160" t="str">
        <f t="shared" si="1"/>
        <v>03</v>
      </c>
      <c r="D34" s="160" t="s">
        <v>24</v>
      </c>
      <c r="E34" s="160" t="s">
        <v>253</v>
      </c>
      <c r="F34" s="160">
        <f t="shared" si="6"/>
        <v>2015</v>
      </c>
      <c r="G34" s="162"/>
      <c r="H34" s="162"/>
      <c r="I34" s="162" t="s">
        <v>45</v>
      </c>
      <c r="J34" s="161">
        <v>2015</v>
      </c>
      <c r="K34" s="161">
        <v>1</v>
      </c>
      <c r="L34" s="161" t="s">
        <v>103</v>
      </c>
      <c r="M34" s="163" t="s">
        <v>19</v>
      </c>
      <c r="N34" s="163" t="s">
        <v>19</v>
      </c>
      <c r="O34" s="161" t="s">
        <v>135</v>
      </c>
      <c r="P34" s="164" t="s">
        <v>400</v>
      </c>
      <c r="Q34" s="164" t="s">
        <v>140</v>
      </c>
      <c r="R34" s="161"/>
      <c r="S34" s="166" t="s">
        <v>392</v>
      </c>
      <c r="T34" s="167">
        <v>45548</v>
      </c>
      <c r="U34" s="165"/>
    </row>
    <row r="35" spans="1:21" x14ac:dyDescent="0.3">
      <c r="A35" s="159">
        <f t="shared" si="3"/>
        <v>21</v>
      </c>
      <c r="B35" s="160" t="str">
        <f t="shared" si="0"/>
        <v>01</v>
      </c>
      <c r="C35" s="160" t="str">
        <f t="shared" si="1"/>
        <v>03</v>
      </c>
      <c r="D35" s="160" t="s">
        <v>24</v>
      </c>
      <c r="E35" s="160" t="s">
        <v>255</v>
      </c>
      <c r="F35" s="160">
        <f t="shared" si="6"/>
        <v>2015</v>
      </c>
      <c r="G35" s="161" t="s">
        <v>56</v>
      </c>
      <c r="H35" s="162" t="s">
        <v>19</v>
      </c>
      <c r="I35" s="162" t="s">
        <v>45</v>
      </c>
      <c r="J35" s="161">
        <v>2015</v>
      </c>
      <c r="K35" s="161">
        <v>1</v>
      </c>
      <c r="L35" s="161" t="s">
        <v>42</v>
      </c>
      <c r="M35" s="163" t="s">
        <v>19</v>
      </c>
      <c r="N35" s="163" t="s">
        <v>19</v>
      </c>
      <c r="O35" s="161" t="s">
        <v>218</v>
      </c>
      <c r="P35" s="164"/>
      <c r="Q35" s="164" t="s">
        <v>141</v>
      </c>
      <c r="R35" s="161"/>
      <c r="S35" s="166" t="s">
        <v>392</v>
      </c>
      <c r="T35" s="167">
        <v>45548</v>
      </c>
      <c r="U35" s="165"/>
    </row>
    <row r="36" spans="1:21" x14ac:dyDescent="0.3">
      <c r="A36" s="159">
        <f t="shared" si="3"/>
        <v>22</v>
      </c>
      <c r="B36" s="160" t="str">
        <f t="shared" si="0"/>
        <v>01</v>
      </c>
      <c r="C36" s="160" t="str">
        <f t="shared" si="1"/>
        <v>03</v>
      </c>
      <c r="D36" s="160" t="s">
        <v>24</v>
      </c>
      <c r="E36" s="160" t="s">
        <v>256</v>
      </c>
      <c r="F36" s="160">
        <f t="shared" si="6"/>
        <v>2015</v>
      </c>
      <c r="G36" s="161"/>
      <c r="H36" s="162" t="s">
        <v>19</v>
      </c>
      <c r="I36" s="162" t="s">
        <v>45</v>
      </c>
      <c r="J36" s="161">
        <v>2015</v>
      </c>
      <c r="K36" s="161">
        <v>1</v>
      </c>
      <c r="L36" s="161" t="s">
        <v>42</v>
      </c>
      <c r="M36" s="163" t="s">
        <v>19</v>
      </c>
      <c r="N36" s="163" t="s">
        <v>19</v>
      </c>
      <c r="O36" s="161" t="s">
        <v>218</v>
      </c>
      <c r="P36" s="164"/>
      <c r="Q36" s="164" t="s">
        <v>140</v>
      </c>
      <c r="R36" s="161"/>
      <c r="S36" s="166" t="s">
        <v>392</v>
      </c>
      <c r="T36" s="167">
        <v>45548</v>
      </c>
      <c r="U36" s="165"/>
    </row>
    <row r="37" spans="1:21" x14ac:dyDescent="0.3">
      <c r="A37" s="159">
        <f>A36+1</f>
        <v>23</v>
      </c>
      <c r="B37" s="160" t="str">
        <f t="shared" si="0"/>
        <v>01</v>
      </c>
      <c r="C37" s="160" t="str">
        <f t="shared" si="1"/>
        <v>03</v>
      </c>
      <c r="D37" s="160" t="s">
        <v>24</v>
      </c>
      <c r="E37" s="160" t="s">
        <v>393</v>
      </c>
      <c r="F37" s="160">
        <f t="shared" ref="F37" si="7">J37</f>
        <v>2015</v>
      </c>
      <c r="G37" s="162"/>
      <c r="H37" s="162"/>
      <c r="I37" s="162" t="s">
        <v>45</v>
      </c>
      <c r="J37" s="161">
        <v>2015</v>
      </c>
      <c r="K37" s="161">
        <v>1</v>
      </c>
      <c r="L37" s="161" t="s">
        <v>103</v>
      </c>
      <c r="M37" s="163" t="s">
        <v>19</v>
      </c>
      <c r="N37" s="163" t="s">
        <v>19</v>
      </c>
      <c r="O37" s="161" t="s">
        <v>135</v>
      </c>
      <c r="P37" s="164"/>
      <c r="Q37" s="164" t="s">
        <v>140</v>
      </c>
      <c r="R37" s="161"/>
      <c r="S37" s="166" t="s">
        <v>392</v>
      </c>
      <c r="T37" s="167">
        <v>45548</v>
      </c>
      <c r="U37" s="165"/>
    </row>
    <row r="38" spans="1:21" x14ac:dyDescent="0.3">
      <c r="A38" s="159">
        <f>A37+1</f>
        <v>24</v>
      </c>
      <c r="B38" s="160" t="str">
        <f t="shared" si="0"/>
        <v>01</v>
      </c>
      <c r="C38" s="160" t="str">
        <f t="shared" si="1"/>
        <v>03</v>
      </c>
      <c r="D38" s="160" t="s">
        <v>24</v>
      </c>
      <c r="E38" s="160" t="s">
        <v>257</v>
      </c>
      <c r="F38" s="160">
        <f t="shared" ref="F38" si="8">J38</f>
        <v>2015</v>
      </c>
      <c r="G38" s="161" t="s">
        <v>56</v>
      </c>
      <c r="H38" s="162"/>
      <c r="I38" s="162" t="s">
        <v>45</v>
      </c>
      <c r="J38" s="161">
        <v>2015</v>
      </c>
      <c r="K38" s="161">
        <v>1</v>
      </c>
      <c r="L38" s="161" t="s">
        <v>103</v>
      </c>
      <c r="M38" s="163" t="s">
        <v>19</v>
      </c>
      <c r="N38" s="163" t="s">
        <v>19</v>
      </c>
      <c r="O38" s="161" t="s">
        <v>135</v>
      </c>
      <c r="P38" s="164"/>
      <c r="Q38" s="164" t="s">
        <v>141</v>
      </c>
      <c r="R38" s="161"/>
      <c r="S38" s="166" t="s">
        <v>392</v>
      </c>
      <c r="T38" s="167">
        <v>45548</v>
      </c>
      <c r="U38" s="165"/>
    </row>
    <row r="39" spans="1:21" x14ac:dyDescent="0.3">
      <c r="A39" s="100">
        <f>A38+1</f>
        <v>25</v>
      </c>
      <c r="B39" s="101" t="str">
        <f t="shared" si="0"/>
        <v>01</v>
      </c>
      <c r="C39" s="101" t="str">
        <f t="shared" si="1"/>
        <v>03</v>
      </c>
      <c r="D39" s="101" t="s">
        <v>24</v>
      </c>
      <c r="E39" s="101" t="s">
        <v>349</v>
      </c>
      <c r="F39" s="101">
        <v>2013</v>
      </c>
      <c r="G39" s="103"/>
      <c r="H39" s="103"/>
      <c r="I39" s="103" t="s">
        <v>45</v>
      </c>
      <c r="J39" s="102">
        <v>2013</v>
      </c>
      <c r="K39" s="102">
        <v>1</v>
      </c>
      <c r="L39" s="102" t="s">
        <v>103</v>
      </c>
      <c r="M39" s="104" t="s">
        <v>19</v>
      </c>
      <c r="N39" s="104" t="s">
        <v>19</v>
      </c>
      <c r="O39" s="102" t="s">
        <v>351</v>
      </c>
      <c r="P39" s="105"/>
      <c r="Q39" s="105" t="s">
        <v>141</v>
      </c>
      <c r="R39" s="102"/>
      <c r="S39" s="102"/>
      <c r="T39" s="100"/>
    </row>
    <row r="40" spans="1:21" x14ac:dyDescent="0.3">
      <c r="A40" s="100">
        <f t="shared" si="3"/>
        <v>26</v>
      </c>
      <c r="B40" s="101" t="str">
        <f t="shared" si="0"/>
        <v>01</v>
      </c>
      <c r="C40" s="101" t="str">
        <f t="shared" si="1"/>
        <v>03</v>
      </c>
      <c r="D40" s="101" t="s">
        <v>24</v>
      </c>
      <c r="E40" s="101" t="s">
        <v>350</v>
      </c>
      <c r="F40" s="101">
        <v>2013</v>
      </c>
      <c r="G40" s="103"/>
      <c r="H40" s="103"/>
      <c r="I40" s="103" t="s">
        <v>45</v>
      </c>
      <c r="J40" s="102">
        <v>2013</v>
      </c>
      <c r="K40" s="102">
        <v>1</v>
      </c>
      <c r="L40" s="102" t="s">
        <v>103</v>
      </c>
      <c r="M40" s="104" t="s">
        <v>19</v>
      </c>
      <c r="N40" s="104" t="s">
        <v>19</v>
      </c>
      <c r="O40" s="102" t="s">
        <v>351</v>
      </c>
      <c r="P40" s="105"/>
      <c r="Q40" s="105" t="s">
        <v>140</v>
      </c>
      <c r="R40" s="102"/>
      <c r="S40" s="102"/>
      <c r="T40" s="100"/>
    </row>
    <row r="41" spans="1:21" x14ac:dyDescent="0.3">
      <c r="A41" s="108">
        <v>26</v>
      </c>
      <c r="B41" s="101" t="str">
        <f t="shared" si="0"/>
        <v>01</v>
      </c>
      <c r="C41" s="101" t="str">
        <f t="shared" si="1"/>
        <v>03</v>
      </c>
      <c r="D41" s="101" t="s">
        <v>24</v>
      </c>
      <c r="E41" s="101" t="s">
        <v>363</v>
      </c>
      <c r="F41" s="101">
        <v>2022</v>
      </c>
      <c r="G41" s="103"/>
      <c r="H41" s="103"/>
      <c r="I41" s="103" t="s">
        <v>45</v>
      </c>
      <c r="J41" s="102">
        <v>2022</v>
      </c>
      <c r="K41" s="102">
        <v>1</v>
      </c>
      <c r="L41" s="102" t="s">
        <v>103</v>
      </c>
      <c r="M41" s="104" t="s">
        <v>19</v>
      </c>
      <c r="N41" s="104" t="s">
        <v>19</v>
      </c>
      <c r="O41" s="102" t="s">
        <v>351</v>
      </c>
      <c r="P41" s="105"/>
      <c r="Q41" s="105" t="s">
        <v>141</v>
      </c>
      <c r="R41" s="102"/>
      <c r="S41" s="102"/>
      <c r="T41" s="100"/>
    </row>
    <row r="42" spans="1:21" x14ac:dyDescent="0.3">
      <c r="A42" s="108">
        <v>27</v>
      </c>
      <c r="B42" s="101" t="str">
        <f t="shared" si="0"/>
        <v>01</v>
      </c>
      <c r="C42" s="101" t="str">
        <f t="shared" si="1"/>
        <v>03</v>
      </c>
      <c r="D42" s="101" t="s">
        <v>24</v>
      </c>
      <c r="E42" s="101" t="s">
        <v>364</v>
      </c>
      <c r="F42" s="101">
        <v>2022</v>
      </c>
      <c r="G42" s="103"/>
      <c r="H42" s="103"/>
      <c r="I42" s="103" t="s">
        <v>45</v>
      </c>
      <c r="J42" s="102">
        <v>2022</v>
      </c>
      <c r="K42" s="102">
        <v>1</v>
      </c>
      <c r="L42" s="102" t="s">
        <v>103</v>
      </c>
      <c r="M42" s="104" t="s">
        <v>19</v>
      </c>
      <c r="N42" s="104" t="s">
        <v>19</v>
      </c>
      <c r="O42" s="102" t="s">
        <v>351</v>
      </c>
      <c r="P42" s="105"/>
      <c r="Q42" s="105" t="s">
        <v>140</v>
      </c>
      <c r="R42" s="102"/>
      <c r="S42" s="102"/>
      <c r="T42" s="100"/>
    </row>
    <row r="43" spans="1:21" x14ac:dyDescent="0.3">
      <c r="A43" s="114">
        <f t="shared" ref="A43:A51" si="9">A42+1</f>
        <v>28</v>
      </c>
      <c r="B43" s="112" t="str">
        <f t="shared" si="0"/>
        <v>01</v>
      </c>
      <c r="C43" s="112" t="str">
        <f t="shared" si="1"/>
        <v>03</v>
      </c>
      <c r="D43" s="112" t="s">
        <v>24</v>
      </c>
      <c r="E43" s="112" t="s">
        <v>365</v>
      </c>
      <c r="F43" s="112">
        <v>2022</v>
      </c>
      <c r="G43" s="115"/>
      <c r="H43" s="113" t="s">
        <v>19</v>
      </c>
      <c r="I43" s="113" t="s">
        <v>45</v>
      </c>
      <c r="J43" s="115">
        <v>2022</v>
      </c>
      <c r="K43" s="115">
        <v>1</v>
      </c>
      <c r="L43" s="115" t="s">
        <v>42</v>
      </c>
      <c r="M43" s="116" t="s">
        <v>19</v>
      </c>
      <c r="N43" s="116" t="s">
        <v>19</v>
      </c>
      <c r="O43" s="115" t="s">
        <v>148</v>
      </c>
      <c r="P43" s="117"/>
      <c r="Q43" s="117" t="s">
        <v>141</v>
      </c>
      <c r="R43" s="115"/>
      <c r="S43" s="115"/>
      <c r="T43" s="114"/>
    </row>
    <row r="44" spans="1:21" x14ac:dyDescent="0.3">
      <c r="A44" s="114">
        <f t="shared" si="9"/>
        <v>29</v>
      </c>
      <c r="B44" s="112" t="str">
        <f t="shared" si="0"/>
        <v>01</v>
      </c>
      <c r="C44" s="112" t="str">
        <f t="shared" si="1"/>
        <v>03</v>
      </c>
      <c r="D44" s="112" t="s">
        <v>24</v>
      </c>
      <c r="E44" s="112" t="s">
        <v>366</v>
      </c>
      <c r="F44" s="112">
        <v>2022</v>
      </c>
      <c r="G44" s="115"/>
      <c r="H44" s="113" t="s">
        <v>19</v>
      </c>
      <c r="I44" s="113" t="s">
        <v>45</v>
      </c>
      <c r="J44" s="115">
        <v>2022</v>
      </c>
      <c r="K44" s="115">
        <v>1</v>
      </c>
      <c r="L44" s="115" t="s">
        <v>42</v>
      </c>
      <c r="M44" s="116" t="s">
        <v>19</v>
      </c>
      <c r="N44" s="116" t="s">
        <v>19</v>
      </c>
      <c r="O44" s="115" t="s">
        <v>148</v>
      </c>
      <c r="P44" s="117"/>
      <c r="Q44" s="117" t="s">
        <v>140</v>
      </c>
      <c r="R44" s="115"/>
      <c r="S44" s="115"/>
      <c r="T44" s="114"/>
    </row>
    <row r="45" spans="1:21" x14ac:dyDescent="0.3">
      <c r="A45" s="132">
        <f t="shared" si="9"/>
        <v>30</v>
      </c>
      <c r="B45" s="126" t="str">
        <f t="shared" si="0"/>
        <v>01</v>
      </c>
      <c r="C45" s="126" t="str">
        <f t="shared" si="1"/>
        <v>03</v>
      </c>
      <c r="D45" s="126" t="s">
        <v>24</v>
      </c>
      <c r="E45" s="126" t="s">
        <v>367</v>
      </c>
      <c r="F45" s="126">
        <v>2022</v>
      </c>
      <c r="G45" s="127"/>
      <c r="H45" s="127"/>
      <c r="I45" s="127" t="s">
        <v>45</v>
      </c>
      <c r="J45" s="128">
        <v>2022</v>
      </c>
      <c r="K45" s="128">
        <v>1</v>
      </c>
      <c r="L45" s="128" t="s">
        <v>103</v>
      </c>
      <c r="M45" s="129" t="s">
        <v>19</v>
      </c>
      <c r="N45" s="129" t="s">
        <v>19</v>
      </c>
      <c r="O45" s="128" t="s">
        <v>379</v>
      </c>
      <c r="P45" s="130"/>
      <c r="Q45" s="130" t="s">
        <v>141</v>
      </c>
      <c r="R45" s="128"/>
      <c r="S45" s="128"/>
      <c r="T45" s="132"/>
    </row>
    <row r="46" spans="1:21" x14ac:dyDescent="0.3">
      <c r="A46" s="132">
        <f t="shared" si="9"/>
        <v>31</v>
      </c>
      <c r="B46" s="126" t="str">
        <f t="shared" si="0"/>
        <v>01</v>
      </c>
      <c r="C46" s="126" t="str">
        <f t="shared" si="1"/>
        <v>03</v>
      </c>
      <c r="D46" s="126" t="s">
        <v>24</v>
      </c>
      <c r="E46" s="126" t="s">
        <v>368</v>
      </c>
      <c r="F46" s="126">
        <v>2022</v>
      </c>
      <c r="G46" s="127"/>
      <c r="H46" s="127"/>
      <c r="I46" s="127" t="s">
        <v>45</v>
      </c>
      <c r="J46" s="128">
        <v>2022</v>
      </c>
      <c r="K46" s="128">
        <v>1</v>
      </c>
      <c r="L46" s="128" t="s">
        <v>103</v>
      </c>
      <c r="M46" s="129" t="s">
        <v>19</v>
      </c>
      <c r="N46" s="129" t="s">
        <v>19</v>
      </c>
      <c r="O46" s="128" t="s">
        <v>218</v>
      </c>
      <c r="P46" s="130"/>
      <c r="Q46" s="130" t="s">
        <v>140</v>
      </c>
      <c r="R46" s="128"/>
      <c r="S46" s="128"/>
      <c r="T46" s="132"/>
    </row>
    <row r="47" spans="1:21" s="5" customFormat="1" x14ac:dyDescent="0.3">
      <c r="A47" s="159">
        <f t="shared" si="9"/>
        <v>32</v>
      </c>
      <c r="B47" s="160" t="str">
        <f t="shared" si="0"/>
        <v>01</v>
      </c>
      <c r="C47" s="160" t="str">
        <f t="shared" si="1"/>
        <v>03</v>
      </c>
      <c r="D47" s="160" t="s">
        <v>24</v>
      </c>
      <c r="E47" s="160" t="s">
        <v>394</v>
      </c>
      <c r="F47" s="160">
        <v>2012</v>
      </c>
      <c r="G47" s="162"/>
      <c r="H47" s="162"/>
      <c r="I47" s="162" t="s">
        <v>45</v>
      </c>
      <c r="J47" s="161">
        <v>2012</v>
      </c>
      <c r="K47" s="161">
        <v>1</v>
      </c>
      <c r="L47" s="161" t="s">
        <v>103</v>
      </c>
      <c r="M47" s="163" t="s">
        <v>19</v>
      </c>
      <c r="N47" s="163" t="s">
        <v>19</v>
      </c>
      <c r="O47" s="161" t="s">
        <v>395</v>
      </c>
      <c r="P47" s="164"/>
      <c r="Q47" s="164" t="s">
        <v>140</v>
      </c>
      <c r="R47" s="161"/>
      <c r="S47" s="166" t="s">
        <v>392</v>
      </c>
      <c r="T47" s="167">
        <v>45548</v>
      </c>
      <c r="U47" s="165"/>
    </row>
    <row r="48" spans="1:21" s="5" customFormat="1" x14ac:dyDescent="0.3">
      <c r="A48" s="159">
        <f t="shared" si="9"/>
        <v>33</v>
      </c>
      <c r="B48" s="160" t="str">
        <f t="shared" si="0"/>
        <v>01</v>
      </c>
      <c r="C48" s="160" t="str">
        <f t="shared" si="1"/>
        <v>03</v>
      </c>
      <c r="D48" s="160" t="s">
        <v>24</v>
      </c>
      <c r="E48" s="160" t="s">
        <v>398</v>
      </c>
      <c r="F48" s="160">
        <v>2012</v>
      </c>
      <c r="G48" s="161" t="s">
        <v>138</v>
      </c>
      <c r="H48" s="162"/>
      <c r="I48" s="162" t="s">
        <v>45</v>
      </c>
      <c r="J48" s="161">
        <v>2012</v>
      </c>
      <c r="K48" s="161">
        <v>1</v>
      </c>
      <c r="L48" s="161" t="s">
        <v>103</v>
      </c>
      <c r="M48" s="163" t="s">
        <v>19</v>
      </c>
      <c r="N48" s="163" t="s">
        <v>19</v>
      </c>
      <c r="O48" s="161" t="s">
        <v>395</v>
      </c>
      <c r="P48" s="164"/>
      <c r="Q48" s="164" t="s">
        <v>141</v>
      </c>
      <c r="R48" s="161"/>
      <c r="S48" s="166" t="s">
        <v>392</v>
      </c>
      <c r="T48" s="167">
        <v>45548</v>
      </c>
      <c r="U48" s="165"/>
    </row>
    <row r="49" spans="1:21" s="5" customFormat="1" x14ac:dyDescent="0.3">
      <c r="A49" s="159">
        <f t="shared" si="9"/>
        <v>34</v>
      </c>
      <c r="B49" s="160" t="str">
        <f t="shared" si="0"/>
        <v>01</v>
      </c>
      <c r="C49" s="160" t="str">
        <f t="shared" si="1"/>
        <v>03</v>
      </c>
      <c r="D49" s="160" t="s">
        <v>24</v>
      </c>
      <c r="E49" s="160" t="s">
        <v>396</v>
      </c>
      <c r="F49" s="160">
        <v>2012</v>
      </c>
      <c r="G49" s="162"/>
      <c r="H49" s="162"/>
      <c r="I49" s="162" t="s">
        <v>45</v>
      </c>
      <c r="J49" s="161">
        <v>2012</v>
      </c>
      <c r="K49" s="161">
        <v>1</v>
      </c>
      <c r="L49" s="161" t="s">
        <v>103</v>
      </c>
      <c r="M49" s="163" t="s">
        <v>19</v>
      </c>
      <c r="N49" s="163" t="s">
        <v>19</v>
      </c>
      <c r="O49" s="161" t="s">
        <v>397</v>
      </c>
      <c r="P49" s="164"/>
      <c r="Q49" s="164" t="s">
        <v>140</v>
      </c>
      <c r="R49" s="161"/>
      <c r="S49" s="166" t="s">
        <v>392</v>
      </c>
      <c r="T49" s="167">
        <v>45548</v>
      </c>
      <c r="U49" s="165"/>
    </row>
    <row r="50" spans="1:21" s="5" customFormat="1" x14ac:dyDescent="0.3">
      <c r="A50" s="159">
        <f t="shared" si="9"/>
        <v>35</v>
      </c>
      <c r="B50" s="160" t="str">
        <f t="shared" si="0"/>
        <v>01</v>
      </c>
      <c r="C50" s="160" t="str">
        <f t="shared" si="1"/>
        <v>03</v>
      </c>
      <c r="D50" s="160" t="s">
        <v>24</v>
      </c>
      <c r="E50" s="160" t="s">
        <v>399</v>
      </c>
      <c r="F50" s="160">
        <v>2010</v>
      </c>
      <c r="G50" s="162"/>
      <c r="H50" s="162"/>
      <c r="I50" s="162" t="s">
        <v>45</v>
      </c>
      <c r="J50" s="161">
        <v>2010</v>
      </c>
      <c r="K50" s="161">
        <v>1</v>
      </c>
      <c r="L50" s="161" t="s">
        <v>103</v>
      </c>
      <c r="M50" s="163" t="s">
        <v>19</v>
      </c>
      <c r="N50" s="163" t="s">
        <v>19</v>
      </c>
      <c r="O50" s="161" t="s">
        <v>397</v>
      </c>
      <c r="P50" s="164"/>
      <c r="Q50" s="164" t="s">
        <v>140</v>
      </c>
      <c r="R50" s="161"/>
      <c r="S50" s="166" t="s">
        <v>392</v>
      </c>
      <c r="T50" s="167">
        <v>45548</v>
      </c>
      <c r="U50" s="165"/>
    </row>
    <row r="51" spans="1:21" s="5" customFormat="1" x14ac:dyDescent="0.3">
      <c r="A51" s="159">
        <f t="shared" si="9"/>
        <v>36</v>
      </c>
      <c r="B51" s="160" t="str">
        <f t="shared" si="0"/>
        <v>01</v>
      </c>
      <c r="C51" s="160" t="str">
        <f t="shared" si="1"/>
        <v>03</v>
      </c>
      <c r="D51" s="160" t="s">
        <v>24</v>
      </c>
      <c r="E51" s="160" t="s">
        <v>401</v>
      </c>
      <c r="F51" s="160">
        <v>2010</v>
      </c>
      <c r="G51" s="162"/>
      <c r="H51" s="162"/>
      <c r="I51" s="162" t="s">
        <v>45</v>
      </c>
      <c r="J51" s="161">
        <v>2010</v>
      </c>
      <c r="K51" s="161">
        <v>1</v>
      </c>
      <c r="L51" s="161" t="s">
        <v>103</v>
      </c>
      <c r="M51" s="163" t="s">
        <v>19</v>
      </c>
      <c r="N51" s="163" t="s">
        <v>19</v>
      </c>
      <c r="O51" s="161" t="s">
        <v>397</v>
      </c>
      <c r="P51" s="164"/>
      <c r="Q51" s="164" t="s">
        <v>141</v>
      </c>
      <c r="R51" s="161"/>
      <c r="S51" s="166" t="s">
        <v>392</v>
      </c>
      <c r="T51" s="167">
        <v>45548</v>
      </c>
      <c r="U51" s="165"/>
    </row>
    <row r="52" spans="1:21" s="5" customFormat="1" x14ac:dyDescent="0.3">
      <c r="A52" s="84"/>
      <c r="B52" s="137"/>
      <c r="C52" s="65"/>
      <c r="D52" s="65"/>
      <c r="E52" s="65"/>
      <c r="F52" s="66"/>
      <c r="G52" s="85"/>
      <c r="H52" s="85"/>
      <c r="I52" s="85"/>
      <c r="J52" s="86"/>
      <c r="K52" s="86"/>
      <c r="L52" s="23"/>
      <c r="M52" s="68"/>
      <c r="N52" s="68"/>
      <c r="O52" s="86"/>
      <c r="P52" s="143"/>
      <c r="Q52" s="143"/>
      <c r="R52" s="23"/>
      <c r="S52" s="23"/>
      <c r="T52" s="72"/>
    </row>
    <row r="53" spans="1:21" s="5" customFormat="1" x14ac:dyDescent="0.3">
      <c r="A53" s="84"/>
      <c r="B53" s="137"/>
      <c r="C53" s="65"/>
      <c r="D53" s="65"/>
      <c r="E53" s="65"/>
      <c r="F53" s="66"/>
      <c r="G53" s="85"/>
      <c r="H53" s="85"/>
      <c r="I53" s="85"/>
      <c r="J53" s="86"/>
      <c r="K53" s="86"/>
      <c r="L53" s="23"/>
      <c r="M53" s="68"/>
      <c r="N53" s="68"/>
      <c r="O53" s="86"/>
      <c r="P53" s="143"/>
      <c r="Q53" s="143"/>
      <c r="R53" s="23"/>
      <c r="S53" s="23"/>
      <c r="T53" s="72"/>
    </row>
    <row r="54" spans="1:21" s="5" customFormat="1" x14ac:dyDescent="0.3">
      <c r="A54" s="84"/>
      <c r="B54" s="137"/>
      <c r="C54" s="65"/>
      <c r="D54" s="65"/>
      <c r="E54" s="65"/>
      <c r="F54" s="66"/>
      <c r="G54" s="85"/>
      <c r="H54" s="85"/>
      <c r="I54" s="85"/>
      <c r="J54" s="86"/>
      <c r="K54" s="86"/>
      <c r="L54" s="23"/>
      <c r="M54" s="68"/>
      <c r="N54" s="68"/>
      <c r="O54" s="86"/>
      <c r="P54" s="143"/>
      <c r="Q54" s="143"/>
      <c r="R54" s="23"/>
      <c r="S54" s="23"/>
      <c r="T54" s="72"/>
    </row>
    <row r="55" spans="1:21" x14ac:dyDescent="0.3">
      <c r="A55" s="84"/>
      <c r="B55" s="137"/>
      <c r="C55" s="65"/>
      <c r="D55" s="65"/>
      <c r="E55" s="65"/>
      <c r="F55" s="66"/>
      <c r="G55" s="85"/>
      <c r="H55" s="85"/>
      <c r="I55" s="85"/>
      <c r="J55" s="86"/>
      <c r="K55" s="86"/>
      <c r="L55" s="23"/>
      <c r="M55" s="68"/>
      <c r="N55" s="68"/>
      <c r="O55" s="86"/>
      <c r="P55" s="143"/>
      <c r="Q55" s="143"/>
      <c r="R55" s="23"/>
      <c r="S55" s="23"/>
      <c r="T55" s="72"/>
      <c r="U55" s="5"/>
    </row>
    <row r="56" spans="1:21" x14ac:dyDescent="0.3">
      <c r="A56" s="84"/>
      <c r="B56" s="137"/>
      <c r="C56" s="65"/>
      <c r="D56" s="65"/>
      <c r="E56" s="65"/>
      <c r="F56" s="66"/>
      <c r="G56" s="85"/>
      <c r="H56" s="85"/>
      <c r="I56" s="85"/>
      <c r="J56" s="86"/>
      <c r="K56" s="86"/>
      <c r="L56" s="23"/>
      <c r="M56" s="68"/>
      <c r="N56" s="68"/>
      <c r="O56" s="86"/>
      <c r="P56" s="143"/>
      <c r="Q56" s="143"/>
      <c r="R56" s="23"/>
      <c r="S56" s="23"/>
      <c r="T56" s="72"/>
    </row>
    <row r="57" spans="1:21" x14ac:dyDescent="0.3">
      <c r="A57" s="84"/>
      <c r="B57" s="137"/>
      <c r="C57" s="65"/>
      <c r="D57" s="65"/>
      <c r="E57" s="65"/>
      <c r="F57" s="66"/>
      <c r="G57" s="85"/>
      <c r="H57" s="85"/>
      <c r="I57" s="85"/>
      <c r="J57" s="86"/>
      <c r="K57" s="86"/>
      <c r="L57" s="23"/>
      <c r="M57" s="68"/>
      <c r="N57" s="68"/>
      <c r="O57" s="86"/>
      <c r="P57" s="143"/>
      <c r="Q57" s="143"/>
      <c r="R57" s="23"/>
      <c r="S57" s="23"/>
      <c r="T57" s="72"/>
    </row>
    <row r="58" spans="1:21" x14ac:dyDescent="0.3">
      <c r="A58" s="73" t="s">
        <v>27</v>
      </c>
      <c r="B58" s="183" t="s">
        <v>288</v>
      </c>
      <c r="C58" s="184"/>
      <c r="D58" s="184"/>
      <c r="E58" s="184"/>
      <c r="F58" s="185"/>
      <c r="G58" s="56"/>
      <c r="H58" s="57"/>
      <c r="I58" s="57"/>
      <c r="J58" s="56"/>
      <c r="K58" s="56"/>
      <c r="L58" s="58"/>
      <c r="M58" s="59"/>
      <c r="N58" s="59"/>
      <c r="O58" s="56"/>
      <c r="P58" s="60"/>
      <c r="Q58" s="60"/>
      <c r="R58" s="58"/>
      <c r="S58" s="58"/>
      <c r="T58" s="76"/>
    </row>
    <row r="59" spans="1:21" x14ac:dyDescent="0.3">
      <c r="A59" s="22">
        <v>1</v>
      </c>
      <c r="B59" s="16" t="str">
        <f t="shared" si="0"/>
        <v>01</v>
      </c>
      <c r="C59" s="16" t="str">
        <f t="shared" si="1"/>
        <v>03</v>
      </c>
      <c r="D59" s="16" t="s">
        <v>27</v>
      </c>
      <c r="E59" s="16" t="s">
        <v>151</v>
      </c>
      <c r="F59" s="16">
        <v>2015</v>
      </c>
      <c r="G59" s="14"/>
      <c r="H59" s="13"/>
      <c r="I59" s="13" t="s">
        <v>45</v>
      </c>
      <c r="J59" s="14">
        <v>2015</v>
      </c>
      <c r="K59" s="14">
        <v>1</v>
      </c>
      <c r="L59" s="14" t="s">
        <v>42</v>
      </c>
      <c r="M59" s="15" t="s">
        <v>19</v>
      </c>
      <c r="N59" s="15" t="s">
        <v>19</v>
      </c>
      <c r="O59" s="33" t="s">
        <v>174</v>
      </c>
      <c r="P59" s="33"/>
      <c r="Q59" s="33" t="s">
        <v>5</v>
      </c>
      <c r="R59" s="14"/>
      <c r="S59" s="14"/>
      <c r="T59" s="22"/>
    </row>
    <row r="60" spans="1:21" x14ac:dyDescent="0.3">
      <c r="A60" s="28">
        <v>2</v>
      </c>
      <c r="B60" s="32" t="str">
        <f t="shared" si="0"/>
        <v>01</v>
      </c>
      <c r="C60" s="32" t="str">
        <f t="shared" si="1"/>
        <v>03</v>
      </c>
      <c r="D60" s="32" t="s">
        <v>27</v>
      </c>
      <c r="E60" s="32" t="s">
        <v>152</v>
      </c>
      <c r="F60" s="32">
        <v>2015</v>
      </c>
      <c r="G60" s="27"/>
      <c r="H60" s="27"/>
      <c r="I60" s="27" t="s">
        <v>45</v>
      </c>
      <c r="J60" s="29">
        <v>2015</v>
      </c>
      <c r="K60" s="29">
        <v>1</v>
      </c>
      <c r="L60" s="30" t="s">
        <v>42</v>
      </c>
      <c r="M60" s="30" t="s">
        <v>19</v>
      </c>
      <c r="N60" s="30" t="s">
        <v>19</v>
      </c>
      <c r="O60" s="34" t="s">
        <v>174</v>
      </c>
      <c r="P60" s="29"/>
      <c r="Q60" s="97" t="s">
        <v>5</v>
      </c>
      <c r="R60" s="29"/>
      <c r="S60" s="29"/>
      <c r="T60" s="22"/>
    </row>
    <row r="61" spans="1:21" x14ac:dyDescent="0.3">
      <c r="A61" s="22">
        <v>3</v>
      </c>
      <c r="B61" s="16" t="str">
        <f t="shared" si="0"/>
        <v>01</v>
      </c>
      <c r="C61" s="16" t="str">
        <f t="shared" si="1"/>
        <v>03</v>
      </c>
      <c r="D61" s="16" t="s">
        <v>27</v>
      </c>
      <c r="E61" s="16" t="s">
        <v>153</v>
      </c>
      <c r="F61" s="16">
        <v>2015</v>
      </c>
      <c r="G61" s="13"/>
      <c r="H61" s="13"/>
      <c r="I61" s="13" t="s">
        <v>45</v>
      </c>
      <c r="J61" s="14">
        <v>2015</v>
      </c>
      <c r="K61" s="14">
        <v>1</v>
      </c>
      <c r="L61" s="15" t="s">
        <v>42</v>
      </c>
      <c r="M61" s="15" t="s">
        <v>19</v>
      </c>
      <c r="N61" s="15" t="s">
        <v>19</v>
      </c>
      <c r="O61" s="33" t="s">
        <v>174</v>
      </c>
      <c r="P61" s="14"/>
      <c r="Q61" s="50" t="s">
        <v>5</v>
      </c>
      <c r="R61" s="14"/>
      <c r="S61" s="14"/>
      <c r="T61" s="22"/>
    </row>
    <row r="62" spans="1:21" x14ac:dyDescent="0.3">
      <c r="A62" s="28">
        <v>4</v>
      </c>
      <c r="B62" s="32" t="str">
        <f t="shared" si="0"/>
        <v>01</v>
      </c>
      <c r="C62" s="32" t="str">
        <f t="shared" si="1"/>
        <v>03</v>
      </c>
      <c r="D62" s="32" t="s">
        <v>27</v>
      </c>
      <c r="E62" s="32" t="s">
        <v>154</v>
      </c>
      <c r="F62" s="32">
        <v>2020</v>
      </c>
      <c r="G62" s="27" t="s">
        <v>186</v>
      </c>
      <c r="H62" s="27"/>
      <c r="I62" s="27" t="s">
        <v>187</v>
      </c>
      <c r="J62" s="29">
        <v>2020</v>
      </c>
      <c r="K62" s="29">
        <v>1</v>
      </c>
      <c r="L62" s="30" t="s">
        <v>42</v>
      </c>
      <c r="M62" s="30" t="s">
        <v>19</v>
      </c>
      <c r="N62" s="30" t="s">
        <v>19</v>
      </c>
      <c r="O62" s="34" t="s">
        <v>174</v>
      </c>
      <c r="P62" s="29"/>
      <c r="Q62" s="97" t="s">
        <v>187</v>
      </c>
      <c r="R62" s="29" t="s">
        <v>186</v>
      </c>
      <c r="S62" s="29"/>
      <c r="T62" s="22"/>
    </row>
    <row r="63" spans="1:21" s="158" customFormat="1" x14ac:dyDescent="0.3">
      <c r="A63" s="114">
        <v>5</v>
      </c>
      <c r="B63" s="112" t="str">
        <f t="shared" si="0"/>
        <v>01</v>
      </c>
      <c r="C63" s="112" t="str">
        <f t="shared" si="1"/>
        <v>03</v>
      </c>
      <c r="D63" s="112" t="s">
        <v>27</v>
      </c>
      <c r="E63" s="112" t="s">
        <v>155</v>
      </c>
      <c r="F63" s="112">
        <v>2015</v>
      </c>
      <c r="G63" s="113" t="s">
        <v>353</v>
      </c>
      <c r="H63" s="113" t="s">
        <v>354</v>
      </c>
      <c r="I63" s="113" t="s">
        <v>45</v>
      </c>
      <c r="J63" s="115">
        <v>2015</v>
      </c>
      <c r="K63" s="115">
        <v>1</v>
      </c>
      <c r="L63" s="116" t="s">
        <v>42</v>
      </c>
      <c r="M63" s="116" t="s">
        <v>19</v>
      </c>
      <c r="N63" s="116" t="s">
        <v>19</v>
      </c>
      <c r="O63" s="117" t="s">
        <v>352</v>
      </c>
      <c r="P63" s="115"/>
      <c r="Q63" s="120" t="s">
        <v>187</v>
      </c>
      <c r="R63" s="115" t="s">
        <v>186</v>
      </c>
      <c r="S63" s="115"/>
      <c r="T63" s="114"/>
      <c r="U63"/>
    </row>
    <row r="64" spans="1:21" ht="28.8" x14ac:dyDescent="0.3">
      <c r="A64" s="55">
        <v>6</v>
      </c>
      <c r="B64" s="112" t="str">
        <f t="shared" si="0"/>
        <v>01</v>
      </c>
      <c r="C64" s="112" t="str">
        <f t="shared" si="1"/>
        <v>03</v>
      </c>
      <c r="D64" s="112" t="s">
        <v>27</v>
      </c>
      <c r="E64" s="112" t="s">
        <v>202</v>
      </c>
      <c r="F64" s="112">
        <v>2024</v>
      </c>
      <c r="G64" s="154" t="s">
        <v>386</v>
      </c>
      <c r="H64" s="155" t="s">
        <v>391</v>
      </c>
      <c r="I64" s="154" t="s">
        <v>387</v>
      </c>
      <c r="J64" s="156">
        <v>2024</v>
      </c>
      <c r="K64" s="156">
        <v>1</v>
      </c>
      <c r="L64" s="32" t="s">
        <v>42</v>
      </c>
      <c r="M64" s="112" t="s">
        <v>19</v>
      </c>
      <c r="N64" s="112" t="s">
        <v>19</v>
      </c>
      <c r="O64" s="157" t="s">
        <v>388</v>
      </c>
      <c r="P64" s="157"/>
      <c r="Q64" s="157" t="s">
        <v>389</v>
      </c>
      <c r="R64" s="28" t="s">
        <v>390</v>
      </c>
      <c r="S64" s="28"/>
      <c r="T64" s="22"/>
      <c r="U64" s="158"/>
    </row>
    <row r="65" spans="1:21" x14ac:dyDescent="0.3">
      <c r="A65" s="48"/>
      <c r="B65" s="18"/>
      <c r="C65" s="19"/>
      <c r="D65" s="19"/>
      <c r="E65" s="19"/>
      <c r="F65" s="17"/>
      <c r="G65" s="62"/>
      <c r="H65" s="62"/>
      <c r="I65" s="62"/>
      <c r="J65" s="63"/>
      <c r="K65" s="63"/>
      <c r="L65" s="15"/>
      <c r="M65" s="15"/>
      <c r="N65" s="15"/>
      <c r="O65" s="50"/>
      <c r="P65" s="50"/>
      <c r="Q65" s="50"/>
      <c r="R65" s="14"/>
      <c r="S65" s="14"/>
      <c r="T65" s="22"/>
    </row>
    <row r="66" spans="1:21" x14ac:dyDescent="0.3">
      <c r="A66" s="73" t="s">
        <v>25</v>
      </c>
      <c r="B66" s="183" t="s">
        <v>180</v>
      </c>
      <c r="C66" s="184"/>
      <c r="D66" s="184"/>
      <c r="E66" s="184"/>
      <c r="F66" s="185"/>
      <c r="G66" s="56"/>
      <c r="H66" s="57"/>
      <c r="I66" s="57"/>
      <c r="J66" s="56"/>
      <c r="K66" s="56"/>
      <c r="L66" s="58"/>
      <c r="M66" s="59"/>
      <c r="N66" s="59"/>
      <c r="O66" s="56"/>
      <c r="P66" s="60"/>
      <c r="Q66" s="60"/>
      <c r="R66" s="58"/>
      <c r="S66" s="58"/>
      <c r="T66" s="76"/>
    </row>
    <row r="67" spans="1:21" x14ac:dyDescent="0.3">
      <c r="A67" s="84">
        <v>1</v>
      </c>
      <c r="B67" s="36" t="str">
        <f>$A$3</f>
        <v>01</v>
      </c>
      <c r="C67" s="36" t="str">
        <f>$A$4</f>
        <v>03</v>
      </c>
      <c r="D67" s="36" t="s">
        <v>25</v>
      </c>
      <c r="E67" s="36" t="s">
        <v>151</v>
      </c>
      <c r="F67" s="36">
        <f>J67</f>
        <v>2019</v>
      </c>
      <c r="G67" s="67" t="s">
        <v>407</v>
      </c>
      <c r="H67" s="67" t="s">
        <v>52</v>
      </c>
      <c r="I67" s="67" t="s">
        <v>45</v>
      </c>
      <c r="J67" s="23">
        <v>2019</v>
      </c>
      <c r="K67" s="23">
        <v>1</v>
      </c>
      <c r="L67" s="23" t="s">
        <v>42</v>
      </c>
      <c r="M67" s="68" t="s">
        <v>19</v>
      </c>
      <c r="N67" s="68" t="s">
        <v>19</v>
      </c>
      <c r="O67" s="23" t="s">
        <v>342</v>
      </c>
      <c r="P67" s="23"/>
      <c r="Q67" s="35" t="s">
        <v>126</v>
      </c>
      <c r="R67" s="23" t="s">
        <v>4</v>
      </c>
      <c r="S67" s="23"/>
      <c r="T67" s="72"/>
      <c r="U67" s="5"/>
    </row>
    <row r="68" spans="1:21" x14ac:dyDescent="0.3">
      <c r="A68" s="84">
        <f>A67+1</f>
        <v>2</v>
      </c>
      <c r="B68" s="36" t="str">
        <f t="shared" ref="B68:B93" si="10">$A$3</f>
        <v>01</v>
      </c>
      <c r="C68" s="36" t="str">
        <f t="shared" ref="C68:C93" si="11">$A$4</f>
        <v>03</v>
      </c>
      <c r="D68" s="36" t="s">
        <v>25</v>
      </c>
      <c r="E68" s="36" t="s">
        <v>27</v>
      </c>
      <c r="F68" s="36">
        <f t="shared" ref="F68:F74" si="12">J68</f>
        <v>2019</v>
      </c>
      <c r="G68" s="67" t="s">
        <v>51</v>
      </c>
      <c r="H68" s="67" t="s">
        <v>412</v>
      </c>
      <c r="I68" s="67" t="s">
        <v>45</v>
      </c>
      <c r="J68" s="23">
        <v>2019</v>
      </c>
      <c r="K68" s="23">
        <v>1</v>
      </c>
      <c r="L68" s="23" t="s">
        <v>42</v>
      </c>
      <c r="M68" s="68" t="s">
        <v>19</v>
      </c>
      <c r="N68" s="68" t="s">
        <v>19</v>
      </c>
      <c r="O68" s="23" t="s">
        <v>53</v>
      </c>
      <c r="P68" s="23"/>
      <c r="Q68" s="35" t="s">
        <v>126</v>
      </c>
      <c r="R68" s="23" t="s">
        <v>4</v>
      </c>
      <c r="S68" s="23"/>
      <c r="T68" s="72"/>
      <c r="U68" s="5"/>
    </row>
    <row r="69" spans="1:21" x14ac:dyDescent="0.3">
      <c r="A69" s="84">
        <f t="shared" ref="A69:A93" si="13">A68+1</f>
        <v>3</v>
      </c>
      <c r="B69" s="36" t="str">
        <f t="shared" si="10"/>
        <v>01</v>
      </c>
      <c r="C69" s="36" t="str">
        <f t="shared" si="11"/>
        <v>03</v>
      </c>
      <c r="D69" s="36" t="s">
        <v>25</v>
      </c>
      <c r="E69" s="36" t="s">
        <v>25</v>
      </c>
      <c r="F69" s="36">
        <f t="shared" si="12"/>
        <v>2019</v>
      </c>
      <c r="G69" s="67" t="s">
        <v>407</v>
      </c>
      <c r="H69" s="67" t="s">
        <v>413</v>
      </c>
      <c r="I69" s="67" t="s">
        <v>45</v>
      </c>
      <c r="J69" s="23">
        <v>2019</v>
      </c>
      <c r="K69" s="23">
        <v>1</v>
      </c>
      <c r="L69" s="23" t="s">
        <v>42</v>
      </c>
      <c r="M69" s="68" t="s">
        <v>19</v>
      </c>
      <c r="N69" s="68" t="s">
        <v>19</v>
      </c>
      <c r="O69" s="23" t="s">
        <v>192</v>
      </c>
      <c r="P69" s="23"/>
      <c r="Q69" s="35" t="s">
        <v>126</v>
      </c>
      <c r="R69" s="23" t="s">
        <v>405</v>
      </c>
      <c r="S69" s="23"/>
      <c r="T69" s="72"/>
      <c r="U69" s="5"/>
    </row>
    <row r="70" spans="1:21" x14ac:dyDescent="0.3">
      <c r="A70" s="84">
        <f t="shared" si="13"/>
        <v>4</v>
      </c>
      <c r="B70" s="36" t="str">
        <f t="shared" si="10"/>
        <v>01</v>
      </c>
      <c r="C70" s="36" t="str">
        <f t="shared" si="11"/>
        <v>03</v>
      </c>
      <c r="D70" s="36" t="s">
        <v>25</v>
      </c>
      <c r="E70" s="36" t="s">
        <v>26</v>
      </c>
      <c r="F70" s="36">
        <f t="shared" si="12"/>
        <v>2019</v>
      </c>
      <c r="G70" s="67" t="s">
        <v>51</v>
      </c>
      <c r="H70" s="67" t="s">
        <v>414</v>
      </c>
      <c r="I70" s="67" t="s">
        <v>45</v>
      </c>
      <c r="J70" s="23">
        <v>2019</v>
      </c>
      <c r="K70" s="23">
        <v>1</v>
      </c>
      <c r="L70" s="23" t="s">
        <v>42</v>
      </c>
      <c r="M70" s="68" t="s">
        <v>19</v>
      </c>
      <c r="N70" s="68" t="s">
        <v>19</v>
      </c>
      <c r="O70" s="23" t="s">
        <v>351</v>
      </c>
      <c r="P70" s="23"/>
      <c r="Q70" s="35" t="s">
        <v>126</v>
      </c>
      <c r="R70" s="23" t="s">
        <v>348</v>
      </c>
      <c r="S70" s="23"/>
      <c r="T70" s="72"/>
      <c r="U70" s="5"/>
    </row>
    <row r="71" spans="1:21" x14ac:dyDescent="0.3">
      <c r="A71" s="168">
        <f t="shared" si="13"/>
        <v>5</v>
      </c>
      <c r="B71" s="160" t="str">
        <f t="shared" si="10"/>
        <v>01</v>
      </c>
      <c r="C71" s="160" t="str">
        <f t="shared" si="11"/>
        <v>03</v>
      </c>
      <c r="D71" s="160" t="s">
        <v>25</v>
      </c>
      <c r="E71" s="160" t="s">
        <v>28</v>
      </c>
      <c r="F71" s="160">
        <f t="shared" si="12"/>
        <v>2018</v>
      </c>
      <c r="G71" s="162" t="s">
        <v>441</v>
      </c>
      <c r="H71" s="162" t="s">
        <v>124</v>
      </c>
      <c r="I71" s="162" t="s">
        <v>45</v>
      </c>
      <c r="J71" s="161">
        <v>2018</v>
      </c>
      <c r="K71" s="161">
        <v>1</v>
      </c>
      <c r="L71" s="161" t="s">
        <v>42</v>
      </c>
      <c r="M71" s="163" t="s">
        <v>19</v>
      </c>
      <c r="N71" s="163" t="s">
        <v>19</v>
      </c>
      <c r="O71" s="161" t="s">
        <v>128</v>
      </c>
      <c r="P71" s="161"/>
      <c r="Q71" s="164" t="s">
        <v>127</v>
      </c>
      <c r="R71" s="161"/>
      <c r="S71" s="161" t="s">
        <v>404</v>
      </c>
      <c r="T71" s="167">
        <v>45548</v>
      </c>
      <c r="U71" s="165"/>
    </row>
    <row r="72" spans="1:21" x14ac:dyDescent="0.3">
      <c r="A72" s="84">
        <f t="shared" si="13"/>
        <v>6</v>
      </c>
      <c r="B72" s="36" t="str">
        <f t="shared" si="10"/>
        <v>01</v>
      </c>
      <c r="C72" s="36" t="str">
        <f t="shared" si="11"/>
        <v>03</v>
      </c>
      <c r="D72" s="36" t="s">
        <v>25</v>
      </c>
      <c r="E72" s="36" t="s">
        <v>29</v>
      </c>
      <c r="F72" s="36">
        <f t="shared" si="12"/>
        <v>2018</v>
      </c>
      <c r="G72" s="67" t="s">
        <v>439</v>
      </c>
      <c r="H72" s="67" t="s">
        <v>129</v>
      </c>
      <c r="I72" s="67" t="s">
        <v>45</v>
      </c>
      <c r="J72" s="23">
        <v>2018</v>
      </c>
      <c r="K72" s="23">
        <v>1</v>
      </c>
      <c r="L72" s="23" t="s">
        <v>103</v>
      </c>
      <c r="M72" s="68" t="s">
        <v>19</v>
      </c>
      <c r="N72" s="68" t="s">
        <v>19</v>
      </c>
      <c r="O72" s="23" t="s">
        <v>128</v>
      </c>
      <c r="P72" s="23"/>
      <c r="Q72" s="35" t="s">
        <v>130</v>
      </c>
      <c r="R72" s="23"/>
      <c r="S72" s="23"/>
      <c r="T72" s="72"/>
      <c r="U72" s="5"/>
    </row>
    <row r="73" spans="1:21" x14ac:dyDescent="0.3">
      <c r="A73" s="168">
        <f t="shared" si="13"/>
        <v>7</v>
      </c>
      <c r="B73" s="160" t="str">
        <f t="shared" si="10"/>
        <v>01</v>
      </c>
      <c r="C73" s="160" t="str">
        <f t="shared" si="11"/>
        <v>03</v>
      </c>
      <c r="D73" s="160" t="s">
        <v>25</v>
      </c>
      <c r="E73" s="160" t="s">
        <v>30</v>
      </c>
      <c r="F73" s="160">
        <f t="shared" si="12"/>
        <v>2015</v>
      </c>
      <c r="G73" s="162" t="s">
        <v>422</v>
      </c>
      <c r="H73" s="162" t="s">
        <v>131</v>
      </c>
      <c r="I73" s="162" t="s">
        <v>45</v>
      </c>
      <c r="J73" s="161">
        <v>2015</v>
      </c>
      <c r="K73" s="161">
        <v>1</v>
      </c>
      <c r="L73" s="161" t="s">
        <v>103</v>
      </c>
      <c r="M73" s="163" t="s">
        <v>19</v>
      </c>
      <c r="N73" s="163" t="s">
        <v>19</v>
      </c>
      <c r="O73" s="161" t="s">
        <v>128</v>
      </c>
      <c r="P73" s="161"/>
      <c r="Q73" s="164" t="s">
        <v>132</v>
      </c>
      <c r="R73" s="161"/>
      <c r="S73" s="161" t="s">
        <v>404</v>
      </c>
      <c r="T73" s="167">
        <v>45548</v>
      </c>
      <c r="U73" s="165"/>
    </row>
    <row r="74" spans="1:21" x14ac:dyDescent="0.3">
      <c r="A74" s="84">
        <f t="shared" si="13"/>
        <v>8</v>
      </c>
      <c r="B74" s="36" t="str">
        <f t="shared" si="10"/>
        <v>01</v>
      </c>
      <c r="C74" s="36" t="str">
        <f t="shared" si="11"/>
        <v>03</v>
      </c>
      <c r="D74" s="36" t="s">
        <v>25</v>
      </c>
      <c r="E74" s="36" t="s">
        <v>31</v>
      </c>
      <c r="F74" s="36">
        <f t="shared" si="12"/>
        <v>2018</v>
      </c>
      <c r="G74" s="67" t="s">
        <v>125</v>
      </c>
      <c r="H74" s="67" t="s">
        <v>134</v>
      </c>
      <c r="I74" s="67" t="s">
        <v>45</v>
      </c>
      <c r="J74" s="23">
        <v>2018</v>
      </c>
      <c r="K74" s="23">
        <v>1</v>
      </c>
      <c r="L74" s="23" t="s">
        <v>103</v>
      </c>
      <c r="M74" s="68"/>
      <c r="N74" s="68"/>
      <c r="O74" s="23" t="s">
        <v>135</v>
      </c>
      <c r="P74" s="23"/>
      <c r="Q74" s="169" t="s">
        <v>136</v>
      </c>
      <c r="R74" s="23"/>
      <c r="S74" s="23"/>
      <c r="T74" s="72"/>
      <c r="U74" s="5"/>
    </row>
    <row r="75" spans="1:21" x14ac:dyDescent="0.3">
      <c r="A75" s="168">
        <f t="shared" si="13"/>
        <v>9</v>
      </c>
      <c r="B75" s="160" t="str">
        <f t="shared" si="10"/>
        <v>01</v>
      </c>
      <c r="C75" s="160" t="str">
        <f t="shared" si="11"/>
        <v>03</v>
      </c>
      <c r="D75" s="160" t="s">
        <v>25</v>
      </c>
      <c r="E75" s="160" t="s">
        <v>32</v>
      </c>
      <c r="F75" s="162">
        <v>2017</v>
      </c>
      <c r="G75" s="162" t="s">
        <v>418</v>
      </c>
      <c r="H75" s="162" t="s">
        <v>419</v>
      </c>
      <c r="I75" s="162" t="s">
        <v>45</v>
      </c>
      <c r="J75" s="161">
        <v>2017</v>
      </c>
      <c r="K75" s="161">
        <v>1</v>
      </c>
      <c r="L75" s="161"/>
      <c r="M75" s="161" t="s">
        <v>19</v>
      </c>
      <c r="N75" s="161" t="s">
        <v>42</v>
      </c>
      <c r="O75" s="161" t="s">
        <v>137</v>
      </c>
      <c r="P75" s="161" t="s">
        <v>175</v>
      </c>
      <c r="Q75" s="164"/>
      <c r="R75" s="161"/>
      <c r="S75" s="161" t="s">
        <v>404</v>
      </c>
      <c r="T75" s="167">
        <v>45548</v>
      </c>
      <c r="U75" s="165"/>
    </row>
    <row r="76" spans="1:21" x14ac:dyDescent="0.3">
      <c r="A76" s="84">
        <f t="shared" si="13"/>
        <v>10</v>
      </c>
      <c r="B76" s="36" t="str">
        <f t="shared" si="10"/>
        <v>01</v>
      </c>
      <c r="C76" s="36" t="str">
        <f t="shared" si="11"/>
        <v>03</v>
      </c>
      <c r="D76" s="36" t="s">
        <v>25</v>
      </c>
      <c r="E76" s="36" t="s">
        <v>206</v>
      </c>
      <c r="F76" s="36">
        <f>J76</f>
        <v>2020</v>
      </c>
      <c r="G76" s="67" t="s">
        <v>176</v>
      </c>
      <c r="H76" s="67" t="s">
        <v>177</v>
      </c>
      <c r="I76" s="67" t="s">
        <v>45</v>
      </c>
      <c r="J76" s="23">
        <v>2020</v>
      </c>
      <c r="K76" s="23">
        <v>1</v>
      </c>
      <c r="L76" s="23" t="s">
        <v>103</v>
      </c>
      <c r="M76" s="68"/>
      <c r="N76" s="68"/>
      <c r="O76" s="23" t="s">
        <v>137</v>
      </c>
      <c r="P76" s="23"/>
      <c r="Q76" s="35" t="s">
        <v>178</v>
      </c>
      <c r="R76" s="23"/>
      <c r="S76" s="23"/>
      <c r="T76" s="72"/>
      <c r="U76" s="5"/>
    </row>
    <row r="77" spans="1:21" x14ac:dyDescent="0.3">
      <c r="A77" s="84">
        <f t="shared" si="13"/>
        <v>11</v>
      </c>
      <c r="B77" s="36" t="str">
        <f t="shared" si="10"/>
        <v>01</v>
      </c>
      <c r="C77" s="36" t="str">
        <f t="shared" si="11"/>
        <v>03</v>
      </c>
      <c r="D77" s="36" t="s">
        <v>25</v>
      </c>
      <c r="E77" s="36" t="s">
        <v>195</v>
      </c>
      <c r="F77" s="67">
        <v>2017</v>
      </c>
      <c r="G77" s="67" t="s">
        <v>409</v>
      </c>
      <c r="H77" s="67" t="s">
        <v>406</v>
      </c>
      <c r="I77" s="67" t="s">
        <v>45</v>
      </c>
      <c r="J77" s="23">
        <v>2017</v>
      </c>
      <c r="K77" s="23">
        <v>1</v>
      </c>
      <c r="L77" s="23" t="s">
        <v>103</v>
      </c>
      <c r="M77" s="23" t="s">
        <v>19</v>
      </c>
      <c r="N77" s="23" t="s">
        <v>42</v>
      </c>
      <c r="O77" s="23" t="s">
        <v>192</v>
      </c>
      <c r="P77" s="23"/>
      <c r="Q77" s="35"/>
      <c r="R77" s="23"/>
      <c r="S77" s="23"/>
      <c r="T77" s="72"/>
      <c r="U77" s="5"/>
    </row>
    <row r="78" spans="1:21" x14ac:dyDescent="0.3">
      <c r="A78" s="168">
        <f t="shared" si="13"/>
        <v>12</v>
      </c>
      <c r="B78" s="160" t="str">
        <f t="shared" si="10"/>
        <v>01</v>
      </c>
      <c r="C78" s="160" t="str">
        <f t="shared" si="11"/>
        <v>03</v>
      </c>
      <c r="D78" s="160" t="s">
        <v>25</v>
      </c>
      <c r="E78" s="160" t="s">
        <v>207</v>
      </c>
      <c r="F78" s="160">
        <f>J78</f>
        <v>2014</v>
      </c>
      <c r="G78" s="162" t="s">
        <v>420</v>
      </c>
      <c r="H78" s="162" t="s">
        <v>421</v>
      </c>
      <c r="I78" s="162" t="s">
        <v>45</v>
      </c>
      <c r="J78" s="161">
        <v>2014</v>
      </c>
      <c r="K78" s="161">
        <v>1</v>
      </c>
      <c r="L78" s="161" t="s">
        <v>103</v>
      </c>
      <c r="M78" s="163"/>
      <c r="N78" s="163"/>
      <c r="O78" s="161" t="s">
        <v>208</v>
      </c>
      <c r="P78" s="161"/>
      <c r="Q78" s="164"/>
      <c r="R78" s="161"/>
      <c r="S78" s="161" t="s">
        <v>392</v>
      </c>
      <c r="T78" s="167">
        <v>45548</v>
      </c>
      <c r="U78" s="165"/>
    </row>
    <row r="79" spans="1:21" x14ac:dyDescent="0.3">
      <c r="A79" s="168">
        <f t="shared" si="13"/>
        <v>13</v>
      </c>
      <c r="B79" s="160" t="str">
        <f t="shared" si="10"/>
        <v>01</v>
      </c>
      <c r="C79" s="160" t="str">
        <f t="shared" si="11"/>
        <v>03</v>
      </c>
      <c r="D79" s="160" t="s">
        <v>25</v>
      </c>
      <c r="E79" s="160" t="s">
        <v>209</v>
      </c>
      <c r="F79" s="162">
        <v>2016</v>
      </c>
      <c r="G79" s="162" t="s">
        <v>422</v>
      </c>
      <c r="H79" s="162" t="s">
        <v>423</v>
      </c>
      <c r="I79" s="162" t="s">
        <v>45</v>
      </c>
      <c r="J79" s="161">
        <v>2016</v>
      </c>
      <c r="K79" s="161">
        <v>1</v>
      </c>
      <c r="L79" s="161" t="s">
        <v>103</v>
      </c>
      <c r="M79" s="161" t="s">
        <v>19</v>
      </c>
      <c r="N79" s="161" t="s">
        <v>19</v>
      </c>
      <c r="O79" s="161" t="s">
        <v>92</v>
      </c>
      <c r="P79" s="161"/>
      <c r="Q79" s="164"/>
      <c r="R79" s="161"/>
      <c r="S79" s="161" t="s">
        <v>392</v>
      </c>
      <c r="T79" s="167">
        <v>45548</v>
      </c>
      <c r="U79" s="165"/>
    </row>
    <row r="80" spans="1:21" x14ac:dyDescent="0.3">
      <c r="A80" s="84">
        <f t="shared" si="13"/>
        <v>14</v>
      </c>
      <c r="B80" s="36" t="str">
        <f t="shared" si="10"/>
        <v>01</v>
      </c>
      <c r="C80" s="36" t="str">
        <f t="shared" si="11"/>
        <v>03</v>
      </c>
      <c r="D80" s="36" t="s">
        <v>25</v>
      </c>
      <c r="E80" s="36" t="s">
        <v>210</v>
      </c>
      <c r="F80" s="36">
        <f>J80</f>
        <v>2018</v>
      </c>
      <c r="G80" s="67" t="s">
        <v>407</v>
      </c>
      <c r="H80" s="67" t="s">
        <v>408</v>
      </c>
      <c r="I80" s="67" t="s">
        <v>45</v>
      </c>
      <c r="J80" s="23">
        <v>2018</v>
      </c>
      <c r="K80" s="23">
        <v>1</v>
      </c>
      <c r="L80" s="23" t="s">
        <v>103</v>
      </c>
      <c r="M80" s="68"/>
      <c r="N80" s="68"/>
      <c r="O80" s="23" t="s">
        <v>214</v>
      </c>
      <c r="P80" s="23"/>
      <c r="Q80" s="35"/>
      <c r="R80" s="23"/>
      <c r="S80" s="23"/>
      <c r="T80" s="72"/>
      <c r="U80" s="5"/>
    </row>
    <row r="81" spans="1:22" x14ac:dyDescent="0.3">
      <c r="A81" s="168">
        <f t="shared" si="13"/>
        <v>15</v>
      </c>
      <c r="B81" s="160" t="str">
        <f t="shared" si="10"/>
        <v>01</v>
      </c>
      <c r="C81" s="160" t="str">
        <f t="shared" si="11"/>
        <v>03</v>
      </c>
      <c r="D81" s="160" t="s">
        <v>25</v>
      </c>
      <c r="E81" s="160" t="s">
        <v>211</v>
      </c>
      <c r="F81" s="162">
        <v>2016</v>
      </c>
      <c r="G81" s="162" t="s">
        <v>402</v>
      </c>
      <c r="H81" s="162" t="s">
        <v>403</v>
      </c>
      <c r="I81" s="162" t="s">
        <v>45</v>
      </c>
      <c r="J81" s="161">
        <v>2016</v>
      </c>
      <c r="K81" s="161">
        <v>1</v>
      </c>
      <c r="L81" s="161" t="s">
        <v>103</v>
      </c>
      <c r="M81" s="161" t="s">
        <v>19</v>
      </c>
      <c r="N81" s="161" t="s">
        <v>19</v>
      </c>
      <c r="O81" s="161" t="s">
        <v>214</v>
      </c>
      <c r="P81" s="161"/>
      <c r="Q81" s="164"/>
      <c r="R81" s="161"/>
      <c r="S81" s="161" t="s">
        <v>392</v>
      </c>
      <c r="T81" s="167">
        <v>45548</v>
      </c>
      <c r="U81" s="165"/>
    </row>
    <row r="82" spans="1:22" x14ac:dyDescent="0.3">
      <c r="A82" s="84">
        <f t="shared" si="13"/>
        <v>16</v>
      </c>
      <c r="B82" s="36" t="str">
        <f t="shared" si="10"/>
        <v>01</v>
      </c>
      <c r="C82" s="36" t="str">
        <f t="shared" si="11"/>
        <v>03</v>
      </c>
      <c r="D82" s="36" t="s">
        <v>25</v>
      </c>
      <c r="E82" s="36" t="s">
        <v>212</v>
      </c>
      <c r="F82" s="36">
        <f>J82</f>
        <v>2018</v>
      </c>
      <c r="G82" s="67" t="s">
        <v>416</v>
      </c>
      <c r="H82" s="67" t="s">
        <v>417</v>
      </c>
      <c r="I82" s="67" t="s">
        <v>45</v>
      </c>
      <c r="J82" s="23">
        <v>2018</v>
      </c>
      <c r="K82" s="23">
        <v>1</v>
      </c>
      <c r="L82" s="23" t="s">
        <v>103</v>
      </c>
      <c r="M82" s="68"/>
      <c r="N82" s="68"/>
      <c r="O82" s="23" t="s">
        <v>215</v>
      </c>
      <c r="P82" s="23"/>
      <c r="Q82" s="35"/>
      <c r="R82" s="23"/>
      <c r="S82" s="23"/>
      <c r="T82" s="72"/>
      <c r="U82" s="5"/>
      <c r="V82" s="5"/>
    </row>
    <row r="83" spans="1:22" x14ac:dyDescent="0.3">
      <c r="A83" s="84">
        <f t="shared" si="13"/>
        <v>17</v>
      </c>
      <c r="B83" s="36" t="str">
        <f t="shared" si="10"/>
        <v>01</v>
      </c>
      <c r="C83" s="36" t="str">
        <f t="shared" si="11"/>
        <v>03</v>
      </c>
      <c r="D83" s="36" t="s">
        <v>25</v>
      </c>
      <c r="E83" s="36" t="s">
        <v>213</v>
      </c>
      <c r="F83" s="67">
        <v>2012</v>
      </c>
      <c r="G83" s="67" t="s">
        <v>410</v>
      </c>
      <c r="H83" s="67" t="s">
        <v>411</v>
      </c>
      <c r="I83" s="67" t="s">
        <v>45</v>
      </c>
      <c r="J83" s="23">
        <v>2012</v>
      </c>
      <c r="K83" s="23">
        <v>1</v>
      </c>
      <c r="L83" s="23" t="s">
        <v>103</v>
      </c>
      <c r="M83" s="23" t="s">
        <v>19</v>
      </c>
      <c r="N83" s="23" t="s">
        <v>19</v>
      </c>
      <c r="O83" s="23" t="s">
        <v>128</v>
      </c>
      <c r="P83" s="23"/>
      <c r="Q83" s="35" t="s">
        <v>340</v>
      </c>
      <c r="R83" s="23"/>
      <c r="S83" s="23"/>
      <c r="T83" s="72"/>
      <c r="U83" s="5"/>
      <c r="V83" s="5"/>
    </row>
    <row r="84" spans="1:22" x14ac:dyDescent="0.3">
      <c r="A84" s="84">
        <f t="shared" si="13"/>
        <v>18</v>
      </c>
      <c r="B84" s="36" t="str">
        <f t="shared" si="10"/>
        <v>01</v>
      </c>
      <c r="C84" s="36" t="str">
        <f t="shared" si="11"/>
        <v>03</v>
      </c>
      <c r="D84" s="36" t="s">
        <v>25</v>
      </c>
      <c r="E84" s="36" t="s">
        <v>216</v>
      </c>
      <c r="F84" s="67">
        <v>2020</v>
      </c>
      <c r="G84" s="67" t="s">
        <v>407</v>
      </c>
      <c r="H84" s="67" t="s">
        <v>415</v>
      </c>
      <c r="I84" s="67" t="s">
        <v>45</v>
      </c>
      <c r="J84" s="23">
        <v>2020</v>
      </c>
      <c r="K84" s="23">
        <v>1</v>
      </c>
      <c r="L84" s="23" t="s">
        <v>103</v>
      </c>
      <c r="M84" s="23" t="s">
        <v>19</v>
      </c>
      <c r="N84" s="23" t="s">
        <v>19</v>
      </c>
      <c r="O84" s="23" t="s">
        <v>351</v>
      </c>
      <c r="P84" s="23"/>
      <c r="Q84" s="35"/>
      <c r="R84" s="23" t="s">
        <v>226</v>
      </c>
      <c r="S84" s="23"/>
      <c r="T84" s="72"/>
      <c r="U84" s="5"/>
      <c r="V84" s="5"/>
    </row>
    <row r="85" spans="1:22" x14ac:dyDescent="0.3">
      <c r="A85" s="168">
        <f t="shared" si="13"/>
        <v>19</v>
      </c>
      <c r="B85" s="160" t="str">
        <f t="shared" si="10"/>
        <v>01</v>
      </c>
      <c r="C85" s="160" t="str">
        <f t="shared" si="11"/>
        <v>03</v>
      </c>
      <c r="D85" s="160" t="s">
        <v>25</v>
      </c>
      <c r="E85" s="160" t="s">
        <v>217</v>
      </c>
      <c r="F85" s="162">
        <v>2016</v>
      </c>
      <c r="G85" s="162" t="s">
        <v>422</v>
      </c>
      <c r="H85" s="162" t="s">
        <v>424</v>
      </c>
      <c r="I85" s="162" t="s">
        <v>45</v>
      </c>
      <c r="J85" s="161">
        <v>2016</v>
      </c>
      <c r="K85" s="161">
        <v>1</v>
      </c>
      <c r="L85" s="161" t="s">
        <v>103</v>
      </c>
      <c r="M85" s="161" t="s">
        <v>19</v>
      </c>
      <c r="N85" s="161" t="s">
        <v>19</v>
      </c>
      <c r="O85" s="161" t="s">
        <v>351</v>
      </c>
      <c r="P85" s="161"/>
      <c r="Q85" s="164"/>
      <c r="R85" s="161" t="s">
        <v>226</v>
      </c>
      <c r="S85" s="161" t="s">
        <v>392</v>
      </c>
      <c r="T85" s="167">
        <v>45548</v>
      </c>
      <c r="U85" s="165"/>
    </row>
    <row r="86" spans="1:22" s="5" customFormat="1" x14ac:dyDescent="0.3">
      <c r="A86" s="168">
        <f t="shared" si="13"/>
        <v>20</v>
      </c>
      <c r="B86" s="160" t="str">
        <f t="shared" si="10"/>
        <v>01</v>
      </c>
      <c r="C86" s="160" t="str">
        <f t="shared" si="11"/>
        <v>03</v>
      </c>
      <c r="D86" s="160" t="s">
        <v>25</v>
      </c>
      <c r="E86" s="160" t="s">
        <v>225</v>
      </c>
      <c r="F86" s="162">
        <v>2016</v>
      </c>
      <c r="G86" s="162" t="s">
        <v>422</v>
      </c>
      <c r="H86" s="162" t="s">
        <v>425</v>
      </c>
      <c r="I86" s="162" t="s">
        <v>45</v>
      </c>
      <c r="J86" s="161">
        <v>2016</v>
      </c>
      <c r="K86" s="161">
        <v>1</v>
      </c>
      <c r="L86" s="161"/>
      <c r="M86" s="163"/>
      <c r="N86" s="163" t="s">
        <v>42</v>
      </c>
      <c r="O86" s="161" t="s">
        <v>112</v>
      </c>
      <c r="P86" s="161"/>
      <c r="Q86" s="164"/>
      <c r="R86" s="161"/>
      <c r="S86" s="161" t="s">
        <v>392</v>
      </c>
      <c r="T86" s="167">
        <v>45548</v>
      </c>
      <c r="U86" s="165"/>
    </row>
    <row r="87" spans="1:22" s="5" customFormat="1" x14ac:dyDescent="0.3">
      <c r="A87" s="168">
        <f t="shared" si="13"/>
        <v>21</v>
      </c>
      <c r="B87" s="160" t="str">
        <f t="shared" si="10"/>
        <v>01</v>
      </c>
      <c r="C87" s="160" t="str">
        <f t="shared" si="11"/>
        <v>03</v>
      </c>
      <c r="D87" s="160" t="s">
        <v>25</v>
      </c>
      <c r="E87" s="160" t="s">
        <v>228</v>
      </c>
      <c r="F87" s="162">
        <v>2015</v>
      </c>
      <c r="G87" s="162" t="s">
        <v>426</v>
      </c>
      <c r="H87" s="162" t="s">
        <v>427</v>
      </c>
      <c r="I87" s="162" t="s">
        <v>45</v>
      </c>
      <c r="J87" s="161">
        <v>2015</v>
      </c>
      <c r="K87" s="161">
        <v>1</v>
      </c>
      <c r="L87" s="161"/>
      <c r="M87" s="163"/>
      <c r="N87" s="163" t="s">
        <v>42</v>
      </c>
      <c r="O87" s="161" t="s">
        <v>428</v>
      </c>
      <c r="P87" s="161"/>
      <c r="Q87" s="164"/>
      <c r="R87" s="161"/>
      <c r="S87" s="161" t="s">
        <v>392</v>
      </c>
      <c r="T87" s="167">
        <v>45548</v>
      </c>
      <c r="U87" s="165"/>
    </row>
    <row r="88" spans="1:22" x14ac:dyDescent="0.3">
      <c r="A88" s="168">
        <f t="shared" si="13"/>
        <v>22</v>
      </c>
      <c r="B88" s="160" t="str">
        <f t="shared" si="10"/>
        <v>01</v>
      </c>
      <c r="C88" s="160" t="str">
        <f t="shared" si="11"/>
        <v>03</v>
      </c>
      <c r="D88" s="160" t="s">
        <v>25</v>
      </c>
      <c r="E88" s="160" t="s">
        <v>229</v>
      </c>
      <c r="F88" s="162">
        <v>2010</v>
      </c>
      <c r="G88" s="162" t="s">
        <v>429</v>
      </c>
      <c r="H88" s="162" t="s">
        <v>430</v>
      </c>
      <c r="I88" s="162" t="s">
        <v>45</v>
      </c>
      <c r="J88" s="161">
        <v>2010</v>
      </c>
      <c r="K88" s="161">
        <v>1</v>
      </c>
      <c r="L88" s="161"/>
      <c r="M88" s="163"/>
      <c r="N88" s="163" t="s">
        <v>42</v>
      </c>
      <c r="O88" s="161" t="s">
        <v>431</v>
      </c>
      <c r="P88" s="161"/>
      <c r="Q88" s="164"/>
      <c r="R88" s="161"/>
      <c r="S88" s="161" t="s">
        <v>392</v>
      </c>
      <c r="T88" s="167">
        <v>45548</v>
      </c>
      <c r="U88" s="165"/>
    </row>
    <row r="89" spans="1:22" x14ac:dyDescent="0.3">
      <c r="A89" s="168">
        <f t="shared" si="13"/>
        <v>23</v>
      </c>
      <c r="B89" s="160" t="str">
        <f t="shared" si="10"/>
        <v>01</v>
      </c>
      <c r="C89" s="160" t="str">
        <f t="shared" si="11"/>
        <v>03</v>
      </c>
      <c r="D89" s="160" t="s">
        <v>25</v>
      </c>
      <c r="E89" s="160" t="s">
        <v>230</v>
      </c>
      <c r="F89" s="162">
        <v>2010</v>
      </c>
      <c r="G89" s="162" t="s">
        <v>432</v>
      </c>
      <c r="H89" s="162" t="s">
        <v>433</v>
      </c>
      <c r="I89" s="162" t="s">
        <v>45</v>
      </c>
      <c r="J89" s="161">
        <v>2010</v>
      </c>
      <c r="K89" s="161">
        <v>1</v>
      </c>
      <c r="L89" s="161"/>
      <c r="M89" s="163"/>
      <c r="N89" s="163" t="s">
        <v>42</v>
      </c>
      <c r="O89" s="161" t="s">
        <v>431</v>
      </c>
      <c r="P89" s="161"/>
      <c r="Q89" s="164"/>
      <c r="R89" s="161"/>
      <c r="S89" s="161" t="s">
        <v>392</v>
      </c>
      <c r="T89" s="167">
        <v>45548</v>
      </c>
      <c r="U89" s="165"/>
    </row>
    <row r="90" spans="1:22" x14ac:dyDescent="0.3">
      <c r="A90" s="168">
        <f t="shared" si="13"/>
        <v>24</v>
      </c>
      <c r="B90" s="160" t="str">
        <f t="shared" si="10"/>
        <v>01</v>
      </c>
      <c r="C90" s="160" t="str">
        <f t="shared" si="11"/>
        <v>03</v>
      </c>
      <c r="D90" s="160" t="s">
        <v>25</v>
      </c>
      <c r="E90" s="160" t="s">
        <v>231</v>
      </c>
      <c r="F90" s="162">
        <v>2010</v>
      </c>
      <c r="G90" s="162" t="s">
        <v>434</v>
      </c>
      <c r="H90" s="162" t="s">
        <v>435</v>
      </c>
      <c r="I90" s="162" t="s">
        <v>45</v>
      </c>
      <c r="J90" s="161">
        <v>2010</v>
      </c>
      <c r="K90" s="161">
        <v>1</v>
      </c>
      <c r="L90" s="161"/>
      <c r="M90" s="163"/>
      <c r="N90" s="163" t="s">
        <v>42</v>
      </c>
      <c r="O90" s="161" t="s">
        <v>431</v>
      </c>
      <c r="P90" s="161"/>
      <c r="Q90" s="164"/>
      <c r="R90" s="161"/>
      <c r="S90" s="161" t="s">
        <v>392</v>
      </c>
      <c r="T90" s="167">
        <v>45548</v>
      </c>
      <c r="U90" s="165"/>
    </row>
    <row r="91" spans="1:22" x14ac:dyDescent="0.3">
      <c r="A91" s="168">
        <f t="shared" si="13"/>
        <v>25</v>
      </c>
      <c r="B91" s="160" t="str">
        <f t="shared" si="10"/>
        <v>01</v>
      </c>
      <c r="C91" s="160" t="str">
        <f t="shared" si="11"/>
        <v>03</v>
      </c>
      <c r="D91" s="160" t="s">
        <v>25</v>
      </c>
      <c r="E91" s="160" t="s">
        <v>258</v>
      </c>
      <c r="F91" s="162">
        <v>2010</v>
      </c>
      <c r="G91" s="162" t="s">
        <v>432</v>
      </c>
      <c r="H91" s="162" t="s">
        <v>436</v>
      </c>
      <c r="I91" s="162" t="s">
        <v>45</v>
      </c>
      <c r="J91" s="161">
        <v>2010</v>
      </c>
      <c r="K91" s="161">
        <v>1</v>
      </c>
      <c r="L91" s="161"/>
      <c r="M91" s="163"/>
      <c r="N91" s="163" t="s">
        <v>42</v>
      </c>
      <c r="O91" s="161" t="s">
        <v>431</v>
      </c>
      <c r="P91" s="161"/>
      <c r="Q91" s="164"/>
      <c r="R91" s="161"/>
      <c r="S91" s="161" t="s">
        <v>392</v>
      </c>
      <c r="T91" s="167">
        <v>45548</v>
      </c>
      <c r="U91" s="165"/>
    </row>
    <row r="92" spans="1:22" x14ac:dyDescent="0.3">
      <c r="A92" s="84">
        <f t="shared" si="13"/>
        <v>26</v>
      </c>
      <c r="B92" s="36" t="str">
        <f t="shared" si="10"/>
        <v>01</v>
      </c>
      <c r="C92" s="36" t="str">
        <f t="shared" si="11"/>
        <v>03</v>
      </c>
      <c r="D92" s="36" t="s">
        <v>25</v>
      </c>
      <c r="E92" s="36" t="s">
        <v>259</v>
      </c>
      <c r="F92" s="67">
        <v>2024</v>
      </c>
      <c r="G92" s="67" t="s">
        <v>437</v>
      </c>
      <c r="H92" s="67" t="s">
        <v>438</v>
      </c>
      <c r="I92" s="67" t="s">
        <v>45</v>
      </c>
      <c r="J92" s="23">
        <v>2024</v>
      </c>
      <c r="K92" s="23">
        <v>1</v>
      </c>
      <c r="L92" s="23" t="s">
        <v>103</v>
      </c>
      <c r="M92" s="23" t="s">
        <v>19</v>
      </c>
      <c r="N92" s="23" t="s">
        <v>19</v>
      </c>
      <c r="O92" s="23" t="s">
        <v>92</v>
      </c>
      <c r="P92" s="23"/>
      <c r="Q92" s="35"/>
      <c r="R92" s="23" t="s">
        <v>226</v>
      </c>
      <c r="S92" s="23"/>
      <c r="T92" s="72"/>
      <c r="U92" s="5"/>
    </row>
    <row r="93" spans="1:22" x14ac:dyDescent="0.3">
      <c r="A93" s="168">
        <f t="shared" si="13"/>
        <v>27</v>
      </c>
      <c r="B93" s="160" t="str">
        <f t="shared" si="10"/>
        <v>01</v>
      </c>
      <c r="C93" s="160" t="str">
        <f t="shared" si="11"/>
        <v>03</v>
      </c>
      <c r="D93" s="160" t="s">
        <v>25</v>
      </c>
      <c r="E93" s="160" t="s">
        <v>260</v>
      </c>
      <c r="F93" s="162">
        <v>2016</v>
      </c>
      <c r="G93" s="162" t="s">
        <v>422</v>
      </c>
      <c r="H93" s="162" t="s">
        <v>425</v>
      </c>
      <c r="I93" s="162" t="s">
        <v>45</v>
      </c>
      <c r="J93" s="161">
        <v>2016</v>
      </c>
      <c r="K93" s="161">
        <v>1</v>
      </c>
      <c r="L93" s="161"/>
      <c r="M93" s="163"/>
      <c r="N93" s="163" t="s">
        <v>42</v>
      </c>
      <c r="O93" s="161" t="s">
        <v>440</v>
      </c>
      <c r="P93" s="161"/>
      <c r="Q93" s="164"/>
      <c r="R93" s="161"/>
      <c r="S93" s="161" t="s">
        <v>392</v>
      </c>
      <c r="T93" s="167">
        <v>45548</v>
      </c>
      <c r="U93" s="165"/>
    </row>
    <row r="94" spans="1:22" x14ac:dyDescent="0.3">
      <c r="A94" s="48"/>
      <c r="B94" s="16"/>
      <c r="C94" s="16"/>
      <c r="D94" s="16"/>
      <c r="E94" s="16"/>
      <c r="F94" s="13"/>
      <c r="G94" s="13"/>
      <c r="H94" s="13"/>
      <c r="I94" s="13"/>
      <c r="J94" s="14"/>
      <c r="K94" s="14"/>
      <c r="L94" s="14"/>
      <c r="M94" s="15"/>
      <c r="N94" s="15"/>
      <c r="O94" s="14"/>
      <c r="P94" s="14"/>
      <c r="Q94" s="33"/>
      <c r="R94" s="14"/>
      <c r="S94" s="14"/>
      <c r="T94" s="170"/>
    </row>
    <row r="95" spans="1:22" x14ac:dyDescent="0.3">
      <c r="A95" s="48"/>
      <c r="B95" s="16"/>
      <c r="C95" s="16"/>
      <c r="D95" s="16"/>
      <c r="E95" s="16"/>
      <c r="F95" s="13"/>
      <c r="G95" s="13"/>
      <c r="H95" s="13"/>
      <c r="I95" s="13"/>
      <c r="J95" s="14"/>
      <c r="K95" s="14"/>
      <c r="L95" s="14"/>
      <c r="M95" s="15"/>
      <c r="N95" s="15"/>
      <c r="O95" s="14"/>
      <c r="P95" s="14"/>
      <c r="Q95" s="33"/>
      <c r="R95" s="14"/>
      <c r="S95" s="14"/>
      <c r="T95" s="170"/>
    </row>
    <row r="96" spans="1:22" x14ac:dyDescent="0.3">
      <c r="A96" s="48"/>
      <c r="B96" s="16"/>
      <c r="C96" s="16"/>
      <c r="D96" s="16"/>
      <c r="E96" s="16"/>
      <c r="F96" s="13"/>
      <c r="G96" s="13"/>
      <c r="H96" s="13"/>
      <c r="I96" s="13"/>
      <c r="J96" s="14"/>
      <c r="K96" s="14"/>
      <c r="L96" s="14"/>
      <c r="M96" s="14"/>
      <c r="N96" s="14"/>
      <c r="O96" s="14"/>
      <c r="P96" s="14"/>
      <c r="Q96" s="33"/>
      <c r="R96" s="14"/>
      <c r="S96" s="14"/>
      <c r="T96" s="22"/>
    </row>
    <row r="97" spans="1:20" x14ac:dyDescent="0.3">
      <c r="A97" s="73" t="s">
        <v>26</v>
      </c>
      <c r="B97" s="183" t="s">
        <v>181</v>
      </c>
      <c r="C97" s="184"/>
      <c r="D97" s="184"/>
      <c r="E97" s="184"/>
      <c r="F97" s="185"/>
      <c r="G97" s="57"/>
      <c r="H97" s="57"/>
      <c r="I97" s="57"/>
      <c r="J97" s="56"/>
      <c r="K97" s="56"/>
      <c r="L97" s="58"/>
      <c r="M97" s="58"/>
      <c r="N97" s="58"/>
      <c r="O97" s="56"/>
      <c r="P97" s="60"/>
      <c r="Q97" s="60"/>
      <c r="R97" s="58"/>
      <c r="S97" s="58"/>
      <c r="T97" s="76"/>
    </row>
    <row r="98" spans="1:20" ht="15" customHeight="1" x14ac:dyDescent="0.3">
      <c r="A98" s="48">
        <v>1</v>
      </c>
      <c r="B98" s="16" t="str">
        <f>$A$3</f>
        <v>01</v>
      </c>
      <c r="C98" s="16" t="str">
        <f>$A$4</f>
        <v>03</v>
      </c>
      <c r="D98" s="16" t="s">
        <v>26</v>
      </c>
      <c r="E98" s="16" t="s">
        <v>151</v>
      </c>
      <c r="F98" s="16">
        <f>J98</f>
        <v>2015</v>
      </c>
      <c r="G98" s="13" t="s">
        <v>149</v>
      </c>
      <c r="H98" s="13"/>
      <c r="I98" s="13" t="s">
        <v>45</v>
      </c>
      <c r="J98" s="14">
        <v>2015</v>
      </c>
      <c r="K98" s="14">
        <v>1</v>
      </c>
      <c r="L98" s="14" t="s">
        <v>42</v>
      </c>
      <c r="M98" s="15" t="s">
        <v>19</v>
      </c>
      <c r="N98" s="15" t="s">
        <v>19</v>
      </c>
      <c r="O98" s="14" t="s">
        <v>128</v>
      </c>
      <c r="P98" s="13"/>
      <c r="Q98" s="98" t="s">
        <v>150</v>
      </c>
      <c r="R98" s="14" t="s">
        <v>158</v>
      </c>
      <c r="S98" s="14"/>
      <c r="T98" s="22"/>
    </row>
    <row r="99" spans="1:20" ht="15" customHeight="1" x14ac:dyDescent="0.3">
      <c r="A99" s="55">
        <v>2</v>
      </c>
      <c r="B99" s="32" t="str">
        <f>$A$3</f>
        <v>01</v>
      </c>
      <c r="C99" s="32" t="str">
        <f>$A$4</f>
        <v>03</v>
      </c>
      <c r="D99" s="32" t="s">
        <v>26</v>
      </c>
      <c r="E99" s="32" t="s">
        <v>152</v>
      </c>
      <c r="F99" s="32">
        <f>J99</f>
        <v>2020</v>
      </c>
      <c r="G99" s="78" t="s">
        <v>176</v>
      </c>
      <c r="H99" s="78" t="s">
        <v>182</v>
      </c>
      <c r="I99" s="78" t="s">
        <v>45</v>
      </c>
      <c r="J99" s="79">
        <v>2020</v>
      </c>
      <c r="K99" s="79">
        <v>1</v>
      </c>
      <c r="L99" s="29" t="s">
        <v>42</v>
      </c>
      <c r="M99" s="30"/>
      <c r="N99" s="30"/>
      <c r="O99" s="79" t="s">
        <v>128</v>
      </c>
      <c r="P99" s="80"/>
      <c r="Q99" s="80" t="s">
        <v>182</v>
      </c>
      <c r="R99" s="29" t="s">
        <v>158</v>
      </c>
      <c r="S99" s="29"/>
      <c r="T99" s="22"/>
    </row>
    <row r="100" spans="1:20" x14ac:dyDescent="0.3">
      <c r="A100" s="55"/>
      <c r="B100" s="81"/>
      <c r="C100" s="82"/>
      <c r="D100" s="82"/>
      <c r="E100" s="82"/>
      <c r="F100" s="83"/>
      <c r="G100" s="78"/>
      <c r="H100" s="78"/>
      <c r="I100" s="78"/>
      <c r="J100" s="79"/>
      <c r="K100" s="79"/>
      <c r="L100" s="29"/>
      <c r="M100" s="30"/>
      <c r="N100" s="30"/>
      <c r="O100" s="79"/>
      <c r="P100" s="80"/>
      <c r="Q100" s="80"/>
      <c r="R100" s="29"/>
      <c r="S100" s="29"/>
      <c r="T100" s="22"/>
    </row>
    <row r="101" spans="1:20" x14ac:dyDescent="0.3">
      <c r="A101" s="73" t="s">
        <v>28</v>
      </c>
      <c r="B101" s="186" t="s">
        <v>290</v>
      </c>
      <c r="C101" s="187"/>
      <c r="D101" s="187"/>
      <c r="E101" s="187"/>
      <c r="F101" s="187"/>
      <c r="G101" s="188"/>
      <c r="H101" s="57"/>
      <c r="I101" s="57"/>
      <c r="J101" s="56"/>
      <c r="K101" s="56"/>
      <c r="L101" s="58"/>
      <c r="M101" s="58"/>
      <c r="N101" s="58"/>
      <c r="O101" s="56"/>
      <c r="P101" s="60"/>
      <c r="Q101" s="60"/>
      <c r="R101" s="58"/>
      <c r="S101" s="58"/>
      <c r="T101" s="76"/>
    </row>
    <row r="102" spans="1:20" x14ac:dyDescent="0.3">
      <c r="A102" s="48">
        <v>1</v>
      </c>
      <c r="B102" s="16" t="str">
        <f>$A$3</f>
        <v>01</v>
      </c>
      <c r="C102" s="16" t="str">
        <f>$A$4</f>
        <v>03</v>
      </c>
      <c r="D102" s="16" t="s">
        <v>28</v>
      </c>
      <c r="E102" s="16" t="s">
        <v>151</v>
      </c>
      <c r="F102" s="16">
        <f>J102</f>
        <v>2020</v>
      </c>
      <c r="G102" s="13" t="s">
        <v>185</v>
      </c>
      <c r="H102" s="13" t="s">
        <v>188</v>
      </c>
      <c r="I102" s="13" t="s">
        <v>45</v>
      </c>
      <c r="J102" s="14">
        <v>2020</v>
      </c>
      <c r="K102" s="14">
        <v>1</v>
      </c>
      <c r="L102" s="14" t="s">
        <v>42</v>
      </c>
      <c r="M102" s="15" t="s">
        <v>19</v>
      </c>
      <c r="N102" s="15" t="s">
        <v>19</v>
      </c>
      <c r="O102" s="14" t="s">
        <v>157</v>
      </c>
      <c r="P102" s="13" t="s">
        <v>344</v>
      </c>
      <c r="Q102" s="98" t="s">
        <v>6</v>
      </c>
      <c r="R102" s="14"/>
      <c r="S102" s="14"/>
      <c r="T102" s="22"/>
    </row>
    <row r="103" spans="1:20" x14ac:dyDescent="0.3">
      <c r="A103" s="48">
        <v>2</v>
      </c>
      <c r="B103" s="16" t="str">
        <f>$A$3</f>
        <v>01</v>
      </c>
      <c r="C103" s="16" t="str">
        <f>$A$4</f>
        <v>03</v>
      </c>
      <c r="D103" s="16" t="s">
        <v>28</v>
      </c>
      <c r="E103" s="16" t="s">
        <v>152</v>
      </c>
      <c r="F103" s="16">
        <f>J103</f>
        <v>2015</v>
      </c>
      <c r="G103" s="13" t="s">
        <v>56</v>
      </c>
      <c r="H103" s="13"/>
      <c r="I103" s="13" t="s">
        <v>133</v>
      </c>
      <c r="J103" s="14">
        <v>2015</v>
      </c>
      <c r="K103" s="14">
        <v>1</v>
      </c>
      <c r="L103" s="14" t="s">
        <v>42</v>
      </c>
      <c r="M103" s="15" t="s">
        <v>19</v>
      </c>
      <c r="N103" s="15" t="s">
        <v>19</v>
      </c>
      <c r="O103" s="14" t="s">
        <v>254</v>
      </c>
      <c r="P103" s="13"/>
      <c r="Q103" s="33" t="s">
        <v>287</v>
      </c>
      <c r="R103" s="14"/>
      <c r="S103" s="14"/>
      <c r="T103" s="22"/>
    </row>
    <row r="104" spans="1:20" x14ac:dyDescent="0.3">
      <c r="A104" s="48">
        <v>3</v>
      </c>
      <c r="B104" s="16" t="str">
        <f>$A$3</f>
        <v>01</v>
      </c>
      <c r="C104" s="16" t="str">
        <f>$A$4</f>
        <v>03</v>
      </c>
      <c r="D104" s="16" t="s">
        <v>28</v>
      </c>
      <c r="E104" s="16" t="s">
        <v>153</v>
      </c>
      <c r="F104" s="16">
        <v>2022</v>
      </c>
      <c r="G104" s="13" t="s">
        <v>329</v>
      </c>
      <c r="H104" s="13"/>
      <c r="I104" s="13" t="s">
        <v>45</v>
      </c>
      <c r="J104" s="14">
        <v>2022</v>
      </c>
      <c r="K104" s="14">
        <v>1</v>
      </c>
      <c r="L104" s="14" t="s">
        <v>42</v>
      </c>
      <c r="M104" s="15" t="s">
        <v>19</v>
      </c>
      <c r="N104" s="15" t="s">
        <v>19</v>
      </c>
      <c r="O104" s="14" t="s">
        <v>157</v>
      </c>
      <c r="P104" s="13"/>
      <c r="Q104" s="98" t="s">
        <v>6</v>
      </c>
      <c r="R104" s="14"/>
      <c r="S104" s="14"/>
      <c r="T104" s="22"/>
    </row>
    <row r="105" spans="1:20" x14ac:dyDescent="0.3">
      <c r="A105" s="48"/>
      <c r="B105" s="18"/>
      <c r="C105" s="19"/>
      <c r="D105" s="19"/>
      <c r="E105" s="19"/>
      <c r="F105" s="17"/>
      <c r="G105" s="62"/>
      <c r="H105" s="62"/>
      <c r="I105" s="62"/>
      <c r="J105" s="63"/>
      <c r="K105" s="63"/>
      <c r="L105" s="14"/>
      <c r="M105" s="15"/>
      <c r="N105" s="15"/>
      <c r="O105" s="63"/>
      <c r="P105" s="70"/>
      <c r="Q105" s="70"/>
      <c r="R105" s="14"/>
      <c r="S105" s="14"/>
      <c r="T105" s="22"/>
    </row>
    <row r="106" spans="1:20" x14ac:dyDescent="0.3">
      <c r="A106" s="73" t="s">
        <v>30</v>
      </c>
      <c r="B106" s="186" t="s">
        <v>243</v>
      </c>
      <c r="C106" s="187"/>
      <c r="D106" s="187"/>
      <c r="E106" s="187"/>
      <c r="F106" s="188"/>
      <c r="G106" s="57"/>
      <c r="H106" s="57"/>
      <c r="I106" s="57"/>
      <c r="J106" s="56"/>
      <c r="K106" s="56"/>
      <c r="L106" s="58"/>
      <c r="M106" s="58"/>
      <c r="N106" s="58"/>
      <c r="O106" s="56"/>
      <c r="P106" s="60"/>
      <c r="Q106" s="60"/>
      <c r="R106" s="58"/>
      <c r="S106" s="58"/>
      <c r="T106" s="76"/>
    </row>
    <row r="107" spans="1:20" x14ac:dyDescent="0.3">
      <c r="A107" s="11">
        <v>1</v>
      </c>
      <c r="B107" s="16" t="str">
        <f t="shared" ref="B107:B112" si="14">$A$3</f>
        <v>01</v>
      </c>
      <c r="C107" s="16" t="str">
        <f t="shared" ref="C107:C112" si="15">$A$4</f>
        <v>03</v>
      </c>
      <c r="D107" s="36" t="s">
        <v>30</v>
      </c>
      <c r="E107" s="16" t="s">
        <v>151</v>
      </c>
      <c r="F107" s="16">
        <v>2015</v>
      </c>
      <c r="G107" s="13"/>
      <c r="H107" s="22"/>
      <c r="I107" s="13" t="s">
        <v>45</v>
      </c>
      <c r="J107" s="14">
        <v>2015</v>
      </c>
      <c r="K107" s="14">
        <v>1</v>
      </c>
      <c r="L107" s="14" t="s">
        <v>42</v>
      </c>
      <c r="M107" s="15" t="s">
        <v>19</v>
      </c>
      <c r="N107" s="15" t="s">
        <v>19</v>
      </c>
      <c r="O107" s="14" t="s">
        <v>92</v>
      </c>
      <c r="P107" s="33"/>
      <c r="Q107" s="33" t="s">
        <v>244</v>
      </c>
      <c r="R107" s="14"/>
      <c r="S107" s="14"/>
      <c r="T107" s="22"/>
    </row>
    <row r="108" spans="1:20" x14ac:dyDescent="0.3">
      <c r="A108" s="24">
        <v>2</v>
      </c>
      <c r="B108" s="32" t="str">
        <f t="shared" si="14"/>
        <v>01</v>
      </c>
      <c r="C108" s="32" t="str">
        <f t="shared" si="15"/>
        <v>03</v>
      </c>
      <c r="D108" s="32" t="s">
        <v>30</v>
      </c>
      <c r="E108" s="32" t="s">
        <v>152</v>
      </c>
      <c r="F108" s="32">
        <v>2015</v>
      </c>
      <c r="G108" s="27"/>
      <c r="H108" s="28"/>
      <c r="I108" s="27" t="s">
        <v>45</v>
      </c>
      <c r="J108" s="29">
        <v>2015</v>
      </c>
      <c r="K108" s="29">
        <v>1</v>
      </c>
      <c r="L108" s="29" t="s">
        <v>42</v>
      </c>
      <c r="M108" s="30" t="s">
        <v>19</v>
      </c>
      <c r="N108" s="30" t="s">
        <v>19</v>
      </c>
      <c r="O108" s="29" t="s">
        <v>92</v>
      </c>
      <c r="P108" s="34"/>
      <c r="Q108" s="34" t="s">
        <v>244</v>
      </c>
      <c r="R108" s="29"/>
      <c r="S108" s="29"/>
      <c r="T108" s="22"/>
    </row>
    <row r="109" spans="1:20" x14ac:dyDescent="0.3">
      <c r="A109" s="111">
        <v>3</v>
      </c>
      <c r="B109" s="112" t="str">
        <f t="shared" si="14"/>
        <v>01</v>
      </c>
      <c r="C109" s="112" t="str">
        <f t="shared" si="15"/>
        <v>03</v>
      </c>
      <c r="D109" s="112" t="s">
        <v>30</v>
      </c>
      <c r="E109" s="112" t="s">
        <v>153</v>
      </c>
      <c r="F109" s="112">
        <v>2015</v>
      </c>
      <c r="G109" s="113"/>
      <c r="H109" s="114"/>
      <c r="I109" s="113" t="s">
        <v>45</v>
      </c>
      <c r="J109" s="115">
        <v>2015</v>
      </c>
      <c r="K109" s="115">
        <v>1</v>
      </c>
      <c r="L109" s="115" t="s">
        <v>42</v>
      </c>
      <c r="M109" s="116" t="s">
        <v>19</v>
      </c>
      <c r="N109" s="116" t="s">
        <v>19</v>
      </c>
      <c r="O109" s="115" t="s">
        <v>352</v>
      </c>
      <c r="P109" s="117"/>
      <c r="Q109" s="117" t="s">
        <v>244</v>
      </c>
      <c r="R109" s="115"/>
      <c r="S109" s="115"/>
      <c r="T109" s="114"/>
    </row>
    <row r="110" spans="1:20" x14ac:dyDescent="0.3">
      <c r="A110" s="111">
        <v>4</v>
      </c>
      <c r="B110" s="112" t="str">
        <f t="shared" si="14"/>
        <v>01</v>
      </c>
      <c r="C110" s="112" t="str">
        <f t="shared" si="15"/>
        <v>03</v>
      </c>
      <c r="D110" s="112" t="s">
        <v>30</v>
      </c>
      <c r="E110" s="112" t="s">
        <v>154</v>
      </c>
      <c r="F110" s="112">
        <v>2015</v>
      </c>
      <c r="G110" s="113"/>
      <c r="H110" s="114"/>
      <c r="I110" s="113" t="s">
        <v>45</v>
      </c>
      <c r="J110" s="115">
        <v>2015</v>
      </c>
      <c r="K110" s="115">
        <v>1</v>
      </c>
      <c r="L110" s="115" t="s">
        <v>42</v>
      </c>
      <c r="M110" s="116" t="s">
        <v>19</v>
      </c>
      <c r="N110" s="116" t="s">
        <v>19</v>
      </c>
      <c r="O110" s="115" t="s">
        <v>352</v>
      </c>
      <c r="P110" s="117"/>
      <c r="Q110" s="117" t="s">
        <v>244</v>
      </c>
      <c r="R110" s="115"/>
      <c r="S110" s="115"/>
      <c r="T110" s="114"/>
    </row>
    <row r="111" spans="1:20" ht="15" customHeight="1" x14ac:dyDescent="0.3">
      <c r="A111" s="125">
        <v>5</v>
      </c>
      <c r="B111" s="126" t="str">
        <f t="shared" si="14"/>
        <v>01</v>
      </c>
      <c r="C111" s="126" t="str">
        <f t="shared" si="15"/>
        <v>03</v>
      </c>
      <c r="D111" s="126" t="s">
        <v>30</v>
      </c>
      <c r="E111" s="126" t="s">
        <v>155</v>
      </c>
      <c r="F111" s="126">
        <v>2015</v>
      </c>
      <c r="G111" s="127"/>
      <c r="H111" s="132"/>
      <c r="I111" s="127" t="s">
        <v>45</v>
      </c>
      <c r="J111" s="128">
        <v>2015</v>
      </c>
      <c r="K111" s="128">
        <v>1</v>
      </c>
      <c r="L111" s="128" t="s">
        <v>42</v>
      </c>
      <c r="M111" s="129" t="s">
        <v>19</v>
      </c>
      <c r="N111" s="129" t="s">
        <v>19</v>
      </c>
      <c r="O111" s="128" t="s">
        <v>44</v>
      </c>
      <c r="P111" s="130"/>
      <c r="Q111" s="130" t="s">
        <v>244</v>
      </c>
      <c r="R111" s="128"/>
      <c r="S111" s="128"/>
      <c r="T111" s="132"/>
    </row>
    <row r="112" spans="1:20" x14ac:dyDescent="0.3">
      <c r="A112" s="125">
        <v>6</v>
      </c>
      <c r="B112" s="126" t="str">
        <f t="shared" si="14"/>
        <v>01</v>
      </c>
      <c r="C112" s="126" t="str">
        <f t="shared" si="15"/>
        <v>03</v>
      </c>
      <c r="D112" s="126" t="s">
        <v>30</v>
      </c>
      <c r="E112" s="126" t="s">
        <v>202</v>
      </c>
      <c r="F112" s="126">
        <v>2015</v>
      </c>
      <c r="G112" s="127"/>
      <c r="H112" s="132"/>
      <c r="I112" s="127" t="s">
        <v>45</v>
      </c>
      <c r="J112" s="128">
        <v>2015</v>
      </c>
      <c r="K112" s="128">
        <v>1</v>
      </c>
      <c r="L112" s="128" t="s">
        <v>42</v>
      </c>
      <c r="M112" s="129" t="s">
        <v>19</v>
      </c>
      <c r="N112" s="129" t="s">
        <v>19</v>
      </c>
      <c r="O112" s="128" t="s">
        <v>44</v>
      </c>
      <c r="P112" s="130"/>
      <c r="Q112" s="130" t="s">
        <v>244</v>
      </c>
      <c r="R112" s="128"/>
      <c r="S112" s="128"/>
      <c r="T112" s="132"/>
    </row>
    <row r="113" spans="1:20" x14ac:dyDescent="0.3">
      <c r="A113" s="131"/>
      <c r="B113" s="174"/>
      <c r="C113" s="175"/>
      <c r="D113" s="175"/>
      <c r="E113" s="175"/>
      <c r="F113" s="176"/>
      <c r="G113" s="177"/>
      <c r="H113" s="178"/>
      <c r="I113" s="177"/>
      <c r="J113" s="179"/>
      <c r="K113" s="179"/>
      <c r="L113" s="128"/>
      <c r="M113" s="129"/>
      <c r="N113" s="129"/>
      <c r="O113" s="179"/>
      <c r="P113" s="180"/>
      <c r="Q113" s="180"/>
      <c r="R113" s="128"/>
      <c r="S113" s="128"/>
      <c r="T113" s="132"/>
    </row>
    <row r="114" spans="1:20" ht="15" customHeight="1" x14ac:dyDescent="0.3">
      <c r="A114" s="73" t="s">
        <v>31</v>
      </c>
      <c r="B114" s="186" t="s">
        <v>460</v>
      </c>
      <c r="C114" s="187"/>
      <c r="D114" s="187"/>
      <c r="E114" s="187"/>
      <c r="F114" s="187"/>
      <c r="G114" s="188"/>
      <c r="H114" s="57"/>
      <c r="I114" s="57"/>
      <c r="J114" s="56"/>
      <c r="K114" s="56"/>
      <c r="L114" s="58"/>
      <c r="M114" s="58"/>
      <c r="N114" s="58"/>
      <c r="O114" s="56"/>
      <c r="P114" s="60"/>
      <c r="Q114" s="60"/>
      <c r="R114" s="58"/>
      <c r="S114" s="58"/>
      <c r="T114" s="76"/>
    </row>
    <row r="115" spans="1:20" x14ac:dyDescent="0.3">
      <c r="A115" s="11">
        <v>1</v>
      </c>
      <c r="B115" s="16" t="str">
        <f t="shared" ref="B115:B120" si="16">$A$3</f>
        <v>01</v>
      </c>
      <c r="C115" s="16" t="str">
        <f t="shared" ref="C115:C120" si="17">$A$4</f>
        <v>03</v>
      </c>
      <c r="D115" s="36" t="s">
        <v>31</v>
      </c>
      <c r="E115" s="16" t="s">
        <v>151</v>
      </c>
      <c r="F115" s="16">
        <v>2018</v>
      </c>
      <c r="G115" s="13" t="s">
        <v>463</v>
      </c>
      <c r="H115" s="22">
        <v>3631407999</v>
      </c>
      <c r="I115" s="13" t="s">
        <v>45</v>
      </c>
      <c r="J115" s="14">
        <v>2018</v>
      </c>
      <c r="K115" s="14">
        <v>1</v>
      </c>
      <c r="L115" s="14" t="s">
        <v>42</v>
      </c>
      <c r="M115" s="15" t="s">
        <v>19</v>
      </c>
      <c r="N115" s="15" t="s">
        <v>19</v>
      </c>
      <c r="O115" s="14" t="s">
        <v>461</v>
      </c>
      <c r="P115" s="33"/>
      <c r="Q115" s="33" t="s">
        <v>462</v>
      </c>
      <c r="R115" s="14"/>
      <c r="S115" s="14"/>
      <c r="T115" s="22"/>
    </row>
    <row r="116" spans="1:20" s="5" customFormat="1" x14ac:dyDescent="0.3">
      <c r="A116" s="42">
        <v>2</v>
      </c>
      <c r="B116" s="16" t="str">
        <f t="shared" si="16"/>
        <v>01</v>
      </c>
      <c r="C116" s="16" t="str">
        <f t="shared" si="17"/>
        <v>03</v>
      </c>
      <c r="D116" s="36" t="s">
        <v>31</v>
      </c>
      <c r="E116" s="16" t="s">
        <v>152</v>
      </c>
      <c r="F116" s="16">
        <v>2026</v>
      </c>
      <c r="G116" s="67" t="s">
        <v>464</v>
      </c>
      <c r="H116" s="72" t="s">
        <v>465</v>
      </c>
      <c r="I116" s="67" t="s">
        <v>45</v>
      </c>
      <c r="J116" s="23">
        <v>2026</v>
      </c>
      <c r="K116" s="23">
        <v>1</v>
      </c>
      <c r="L116" s="23" t="s">
        <v>42</v>
      </c>
      <c r="M116" s="68" t="s">
        <v>19</v>
      </c>
      <c r="N116" s="68" t="s">
        <v>19</v>
      </c>
      <c r="O116" s="14" t="s">
        <v>461</v>
      </c>
      <c r="P116" s="35"/>
      <c r="Q116" s="35" t="s">
        <v>466</v>
      </c>
      <c r="R116" s="23"/>
      <c r="S116" s="23"/>
      <c r="T116" s="72"/>
    </row>
    <row r="117" spans="1:20" s="5" customFormat="1" x14ac:dyDescent="0.3">
      <c r="A117" s="84">
        <v>3</v>
      </c>
      <c r="B117" s="16" t="str">
        <f t="shared" si="16"/>
        <v>01</v>
      </c>
      <c r="C117" s="16" t="str">
        <f t="shared" si="17"/>
        <v>03</v>
      </c>
      <c r="D117" s="36" t="s">
        <v>31</v>
      </c>
      <c r="E117" s="16" t="s">
        <v>153</v>
      </c>
      <c r="F117" s="16">
        <v>2026</v>
      </c>
      <c r="G117" s="85" t="s">
        <v>467</v>
      </c>
      <c r="H117" s="181" t="s">
        <v>468</v>
      </c>
      <c r="I117" s="67" t="s">
        <v>45</v>
      </c>
      <c r="J117" s="86">
        <v>2026</v>
      </c>
      <c r="K117" s="23">
        <v>1</v>
      </c>
      <c r="L117" s="23" t="s">
        <v>42</v>
      </c>
      <c r="M117" s="68" t="s">
        <v>19</v>
      </c>
      <c r="N117" s="68" t="s">
        <v>19</v>
      </c>
      <c r="O117" s="14" t="s">
        <v>461</v>
      </c>
      <c r="P117" s="35"/>
      <c r="Q117" s="35" t="s">
        <v>469</v>
      </c>
      <c r="R117" s="23"/>
      <c r="S117" s="23"/>
      <c r="T117" s="72"/>
    </row>
    <row r="118" spans="1:20" s="5" customFormat="1" x14ac:dyDescent="0.3">
      <c r="A118" s="84">
        <v>4</v>
      </c>
      <c r="B118" s="16" t="str">
        <f t="shared" si="16"/>
        <v>01</v>
      </c>
      <c r="C118" s="16" t="str">
        <f t="shared" si="17"/>
        <v>03</v>
      </c>
      <c r="D118" s="36" t="s">
        <v>31</v>
      </c>
      <c r="E118" s="16" t="s">
        <v>154</v>
      </c>
      <c r="F118" s="16">
        <v>2026</v>
      </c>
      <c r="G118" s="85" t="s">
        <v>470</v>
      </c>
      <c r="H118" s="181" t="s">
        <v>471</v>
      </c>
      <c r="I118" s="67" t="s">
        <v>45</v>
      </c>
      <c r="J118" s="86">
        <v>2026</v>
      </c>
      <c r="K118" s="23">
        <v>1</v>
      </c>
      <c r="L118" s="23" t="s">
        <v>42</v>
      </c>
      <c r="M118" s="68" t="s">
        <v>19</v>
      </c>
      <c r="N118" s="68" t="s">
        <v>19</v>
      </c>
      <c r="O118" s="14" t="s">
        <v>461</v>
      </c>
      <c r="P118" s="35"/>
      <c r="Q118" s="35" t="s">
        <v>469</v>
      </c>
      <c r="R118" s="23"/>
      <c r="S118" s="23"/>
      <c r="T118" s="72"/>
    </row>
    <row r="119" spans="1:20" s="5" customFormat="1" x14ac:dyDescent="0.3">
      <c r="A119" s="84">
        <v>5</v>
      </c>
      <c r="B119" s="16" t="str">
        <f t="shared" si="16"/>
        <v>01</v>
      </c>
      <c r="C119" s="16" t="str">
        <f t="shared" si="17"/>
        <v>03</v>
      </c>
      <c r="D119" s="36" t="s">
        <v>31</v>
      </c>
      <c r="E119" s="16" t="s">
        <v>155</v>
      </c>
      <c r="F119" s="16">
        <v>2026</v>
      </c>
      <c r="G119" s="85" t="s">
        <v>472</v>
      </c>
      <c r="H119" s="181" t="s">
        <v>473</v>
      </c>
      <c r="I119" s="67" t="s">
        <v>45</v>
      </c>
      <c r="J119" s="86">
        <v>2026</v>
      </c>
      <c r="K119" s="23">
        <v>1</v>
      </c>
      <c r="L119" s="23" t="s">
        <v>42</v>
      </c>
      <c r="M119" s="68" t="s">
        <v>19</v>
      </c>
      <c r="N119" s="68" t="s">
        <v>19</v>
      </c>
      <c r="O119" s="14" t="s">
        <v>461</v>
      </c>
      <c r="P119" s="35"/>
      <c r="Q119" s="35" t="s">
        <v>474</v>
      </c>
      <c r="R119" s="23"/>
      <c r="S119" s="23"/>
      <c r="T119" s="72"/>
    </row>
    <row r="120" spans="1:20" s="5" customFormat="1" x14ac:dyDescent="0.3">
      <c r="A120" s="84">
        <v>6</v>
      </c>
      <c r="B120" s="16" t="str">
        <f t="shared" si="16"/>
        <v>01</v>
      </c>
      <c r="C120" s="16" t="str">
        <f t="shared" si="17"/>
        <v>03</v>
      </c>
      <c r="D120" s="36" t="s">
        <v>31</v>
      </c>
      <c r="E120" s="16" t="s">
        <v>202</v>
      </c>
      <c r="F120" s="16">
        <v>2026</v>
      </c>
      <c r="G120" s="85" t="s">
        <v>476</v>
      </c>
      <c r="H120" s="181" t="s">
        <v>477</v>
      </c>
      <c r="I120" s="67" t="s">
        <v>45</v>
      </c>
      <c r="J120" s="86">
        <v>2026</v>
      </c>
      <c r="K120" s="23">
        <v>1</v>
      </c>
      <c r="L120" s="23" t="s">
        <v>42</v>
      </c>
      <c r="M120" s="68" t="s">
        <v>19</v>
      </c>
      <c r="N120" s="68" t="s">
        <v>19</v>
      </c>
      <c r="O120" s="14" t="s">
        <v>461</v>
      </c>
      <c r="P120" s="35"/>
      <c r="Q120" s="35" t="s">
        <v>475</v>
      </c>
      <c r="R120" s="23"/>
      <c r="S120" s="23"/>
      <c r="T120" s="72"/>
    </row>
    <row r="121" spans="1:20" s="5" customFormat="1" x14ac:dyDescent="0.3">
      <c r="A121" s="84"/>
      <c r="B121" s="137"/>
      <c r="C121" s="65"/>
      <c r="D121" s="65"/>
      <c r="E121" s="65"/>
      <c r="F121" s="66"/>
      <c r="G121" s="85"/>
      <c r="H121" s="182"/>
      <c r="I121" s="85"/>
      <c r="J121" s="86"/>
      <c r="K121" s="86"/>
      <c r="L121" s="23"/>
      <c r="M121" s="68"/>
      <c r="N121" s="68"/>
      <c r="O121" s="86"/>
      <c r="P121" s="143"/>
      <c r="Q121" s="143"/>
      <c r="R121" s="23"/>
      <c r="S121" s="23"/>
      <c r="T121" s="72"/>
    </row>
    <row r="122" spans="1:20" x14ac:dyDescent="0.3">
      <c r="A122" s="73" t="s">
        <v>32</v>
      </c>
      <c r="B122" s="89" t="s">
        <v>189</v>
      </c>
      <c r="C122" s="87"/>
      <c r="D122" s="87"/>
      <c r="E122" s="87"/>
      <c r="F122" s="88"/>
      <c r="G122" s="57"/>
      <c r="H122" s="57"/>
      <c r="I122" s="57"/>
      <c r="J122" s="56"/>
      <c r="K122" s="56"/>
      <c r="L122" s="58"/>
      <c r="M122" s="58"/>
      <c r="N122" s="58"/>
      <c r="O122" s="56"/>
      <c r="P122" s="60"/>
      <c r="Q122" s="60"/>
      <c r="R122" s="58"/>
      <c r="S122" s="58"/>
      <c r="T122" s="76"/>
    </row>
    <row r="123" spans="1:20" x14ac:dyDescent="0.3">
      <c r="A123" s="48">
        <v>1</v>
      </c>
      <c r="B123" s="16" t="str">
        <f>$A$3</f>
        <v>01</v>
      </c>
      <c r="C123" s="16" t="str">
        <f>$A$4</f>
        <v>03</v>
      </c>
      <c r="D123" s="16" t="s">
        <v>32</v>
      </c>
      <c r="E123" s="16" t="s">
        <v>151</v>
      </c>
      <c r="F123" s="16">
        <f>J123</f>
        <v>2020</v>
      </c>
      <c r="G123" s="13" t="s">
        <v>190</v>
      </c>
      <c r="H123" s="13" t="s">
        <v>191</v>
      </c>
      <c r="I123" s="13" t="s">
        <v>45</v>
      </c>
      <c r="J123" s="14">
        <v>2020</v>
      </c>
      <c r="K123" s="14">
        <v>1</v>
      </c>
      <c r="L123" s="14" t="s">
        <v>42</v>
      </c>
      <c r="M123" s="15" t="s">
        <v>19</v>
      </c>
      <c r="N123" s="15" t="s">
        <v>19</v>
      </c>
      <c r="O123" s="14" t="s">
        <v>192</v>
      </c>
      <c r="P123" s="13"/>
      <c r="Q123" s="33" t="s">
        <v>193</v>
      </c>
      <c r="R123" s="14"/>
      <c r="S123" s="14"/>
      <c r="T123" s="22"/>
    </row>
    <row r="124" spans="1:20" x14ac:dyDescent="0.3">
      <c r="A124" s="48"/>
      <c r="B124" s="61"/>
      <c r="C124" s="49"/>
      <c r="D124" s="49"/>
      <c r="E124" s="49"/>
      <c r="F124" s="69"/>
      <c r="G124" s="62"/>
      <c r="H124" s="62"/>
      <c r="I124" s="62"/>
      <c r="J124" s="63"/>
      <c r="K124" s="63"/>
      <c r="L124" s="14"/>
      <c r="M124" s="15"/>
      <c r="N124" s="15"/>
      <c r="O124" s="63"/>
      <c r="P124" s="70"/>
      <c r="Q124" s="70"/>
      <c r="R124" s="14"/>
      <c r="S124" s="14"/>
      <c r="T124" s="22"/>
    </row>
    <row r="125" spans="1:20" x14ac:dyDescent="0.3">
      <c r="A125" s="48"/>
      <c r="B125" s="61"/>
      <c r="C125" s="49"/>
      <c r="D125" s="49"/>
      <c r="E125" s="49"/>
      <c r="F125" s="69"/>
      <c r="G125" s="62"/>
      <c r="H125" s="62"/>
      <c r="I125" s="62"/>
      <c r="J125" s="63"/>
      <c r="K125" s="63"/>
      <c r="L125" s="14"/>
      <c r="M125" s="15"/>
      <c r="N125" s="15"/>
      <c r="O125" s="63"/>
      <c r="P125" s="70"/>
      <c r="Q125" s="50"/>
      <c r="R125" s="14"/>
      <c r="S125" s="14"/>
      <c r="T125" s="22"/>
    </row>
    <row r="126" spans="1:20" x14ac:dyDescent="0.3">
      <c r="A126" s="73" t="s">
        <v>33</v>
      </c>
      <c r="B126" s="183" t="s">
        <v>164</v>
      </c>
      <c r="C126" s="184"/>
      <c r="D126" s="184"/>
      <c r="E126" s="184"/>
      <c r="F126" s="185"/>
      <c r="G126" s="57"/>
      <c r="H126" s="57"/>
      <c r="I126" s="57"/>
      <c r="J126" s="56"/>
      <c r="K126" s="56"/>
      <c r="L126" s="58"/>
      <c r="M126" s="58"/>
      <c r="N126" s="58"/>
      <c r="O126" s="56"/>
      <c r="P126" s="60"/>
      <c r="Q126" s="60"/>
      <c r="R126" s="58"/>
      <c r="S126" s="58"/>
      <c r="T126" s="76"/>
    </row>
    <row r="127" spans="1:20" x14ac:dyDescent="0.3">
      <c r="A127" s="48">
        <v>1</v>
      </c>
      <c r="B127" s="16" t="str">
        <f t="shared" ref="B127:B137" si="18">$A$3</f>
        <v>01</v>
      </c>
      <c r="C127" s="16" t="str">
        <f t="shared" ref="C127:C137" si="19">$A$4</f>
        <v>03</v>
      </c>
      <c r="D127" s="16" t="s">
        <v>33</v>
      </c>
      <c r="E127" s="16" t="s">
        <v>151</v>
      </c>
      <c r="F127" s="16">
        <f t="shared" ref="F127:F137" si="20">J127</f>
        <v>2015</v>
      </c>
      <c r="G127" s="13" t="s">
        <v>165</v>
      </c>
      <c r="H127" s="13"/>
      <c r="I127" s="13" t="s">
        <v>45</v>
      </c>
      <c r="J127" s="14">
        <v>2015</v>
      </c>
      <c r="K127" s="14">
        <v>1</v>
      </c>
      <c r="L127" s="14" t="s">
        <v>42</v>
      </c>
      <c r="M127" s="15" t="s">
        <v>19</v>
      </c>
      <c r="N127" s="15" t="s">
        <v>19</v>
      </c>
      <c r="O127" s="14" t="s">
        <v>163</v>
      </c>
      <c r="P127" s="13"/>
      <c r="Q127" s="98"/>
      <c r="R127" s="14" t="s">
        <v>164</v>
      </c>
      <c r="S127" s="14"/>
      <c r="T127" s="22"/>
    </row>
    <row r="128" spans="1:20" x14ac:dyDescent="0.3">
      <c r="A128" s="55">
        <v>2</v>
      </c>
      <c r="B128" s="32" t="str">
        <f t="shared" si="18"/>
        <v>01</v>
      </c>
      <c r="C128" s="32" t="str">
        <f t="shared" si="19"/>
        <v>03</v>
      </c>
      <c r="D128" s="32" t="s">
        <v>33</v>
      </c>
      <c r="E128" s="32" t="s">
        <v>152</v>
      </c>
      <c r="F128" s="32">
        <f t="shared" si="20"/>
        <v>2015</v>
      </c>
      <c r="G128" s="27" t="s">
        <v>165</v>
      </c>
      <c r="H128" s="27"/>
      <c r="I128" s="27" t="s">
        <v>45</v>
      </c>
      <c r="J128" s="29">
        <v>2015</v>
      </c>
      <c r="K128" s="29">
        <v>1</v>
      </c>
      <c r="L128" s="29" t="s">
        <v>42</v>
      </c>
      <c r="M128" s="30" t="s">
        <v>19</v>
      </c>
      <c r="N128" s="30" t="s">
        <v>19</v>
      </c>
      <c r="O128" s="29" t="s">
        <v>163</v>
      </c>
      <c r="P128" s="27"/>
      <c r="Q128" s="99"/>
      <c r="R128" s="29" t="s">
        <v>164</v>
      </c>
      <c r="S128" s="29"/>
      <c r="T128" s="28"/>
    </row>
    <row r="129" spans="1:20" x14ac:dyDescent="0.3">
      <c r="A129" s="48">
        <v>3</v>
      </c>
      <c r="B129" s="16" t="str">
        <f t="shared" si="18"/>
        <v>01</v>
      </c>
      <c r="C129" s="16" t="str">
        <f t="shared" si="19"/>
        <v>03</v>
      </c>
      <c r="D129" s="16" t="s">
        <v>33</v>
      </c>
      <c r="E129" s="16" t="s">
        <v>67</v>
      </c>
      <c r="F129" s="16">
        <f t="shared" si="20"/>
        <v>2015</v>
      </c>
      <c r="G129" s="13" t="s">
        <v>197</v>
      </c>
      <c r="H129" s="13"/>
      <c r="I129" s="13" t="s">
        <v>45</v>
      </c>
      <c r="J129" s="14">
        <v>2015</v>
      </c>
      <c r="K129" s="14">
        <v>1</v>
      </c>
      <c r="L129" s="14" t="s">
        <v>42</v>
      </c>
      <c r="M129" s="15" t="s">
        <v>19</v>
      </c>
      <c r="N129" s="15" t="s">
        <v>19</v>
      </c>
      <c r="O129" s="14" t="s">
        <v>192</v>
      </c>
      <c r="P129" s="13"/>
      <c r="Q129" s="98"/>
      <c r="R129" s="14" t="s">
        <v>196</v>
      </c>
      <c r="S129" s="14"/>
      <c r="T129" s="22"/>
    </row>
    <row r="130" spans="1:20" x14ac:dyDescent="0.3">
      <c r="A130" s="55">
        <v>4</v>
      </c>
      <c r="B130" s="32" t="str">
        <f t="shared" si="18"/>
        <v>01</v>
      </c>
      <c r="C130" s="32" t="str">
        <f t="shared" si="19"/>
        <v>03</v>
      </c>
      <c r="D130" s="32" t="s">
        <v>33</v>
      </c>
      <c r="E130" s="32" t="s">
        <v>68</v>
      </c>
      <c r="F130" s="32">
        <f t="shared" si="20"/>
        <v>2015</v>
      </c>
      <c r="G130" s="27" t="s">
        <v>197</v>
      </c>
      <c r="H130" s="27"/>
      <c r="I130" s="27" t="s">
        <v>45</v>
      </c>
      <c r="J130" s="29">
        <v>2015</v>
      </c>
      <c r="K130" s="29">
        <v>1</v>
      </c>
      <c r="L130" s="29" t="s">
        <v>42</v>
      </c>
      <c r="M130" s="30" t="s">
        <v>19</v>
      </c>
      <c r="N130" s="30" t="s">
        <v>19</v>
      </c>
      <c r="O130" s="29" t="s">
        <v>192</v>
      </c>
      <c r="P130" s="27"/>
      <c r="Q130" s="99"/>
      <c r="R130" s="29" t="s">
        <v>196</v>
      </c>
      <c r="S130" s="29"/>
      <c r="T130" s="28"/>
    </row>
    <row r="131" spans="1:20" x14ac:dyDescent="0.3">
      <c r="A131" s="48">
        <v>5</v>
      </c>
      <c r="B131" s="16" t="str">
        <f t="shared" si="18"/>
        <v>01</v>
      </c>
      <c r="C131" s="16" t="str">
        <f t="shared" si="19"/>
        <v>03</v>
      </c>
      <c r="D131" s="16" t="s">
        <v>33</v>
      </c>
      <c r="E131" s="16" t="s">
        <v>198</v>
      </c>
      <c r="F131" s="16">
        <f t="shared" si="20"/>
        <v>2015</v>
      </c>
      <c r="G131" s="13" t="s">
        <v>197</v>
      </c>
      <c r="H131" s="13"/>
      <c r="I131" s="13" t="s">
        <v>45</v>
      </c>
      <c r="J131" s="14">
        <v>2015</v>
      </c>
      <c r="K131" s="14">
        <v>1</v>
      </c>
      <c r="L131" s="14" t="s">
        <v>42</v>
      </c>
      <c r="M131" s="15" t="s">
        <v>19</v>
      </c>
      <c r="N131" s="15" t="s">
        <v>19</v>
      </c>
      <c r="O131" s="14" t="s">
        <v>192</v>
      </c>
      <c r="P131" s="13"/>
      <c r="Q131" s="98"/>
      <c r="R131" s="14" t="s">
        <v>196</v>
      </c>
      <c r="S131" s="14"/>
      <c r="T131" s="22"/>
    </row>
    <row r="132" spans="1:20" ht="15" customHeight="1" x14ac:dyDescent="0.3">
      <c r="A132" s="55">
        <v>6</v>
      </c>
      <c r="B132" s="32" t="str">
        <f t="shared" si="18"/>
        <v>01</v>
      </c>
      <c r="C132" s="32" t="str">
        <f t="shared" si="19"/>
        <v>03</v>
      </c>
      <c r="D132" s="32" t="s">
        <v>33</v>
      </c>
      <c r="E132" s="32" t="s">
        <v>69</v>
      </c>
      <c r="F132" s="32">
        <f t="shared" si="20"/>
        <v>2015</v>
      </c>
      <c r="G132" s="27" t="s">
        <v>197</v>
      </c>
      <c r="H132" s="27"/>
      <c r="I132" s="27" t="s">
        <v>45</v>
      </c>
      <c r="J132" s="29">
        <v>2015</v>
      </c>
      <c r="K132" s="29">
        <v>1</v>
      </c>
      <c r="L132" s="29" t="s">
        <v>42</v>
      </c>
      <c r="M132" s="30" t="s">
        <v>19</v>
      </c>
      <c r="N132" s="30" t="s">
        <v>19</v>
      </c>
      <c r="O132" s="29" t="s">
        <v>342</v>
      </c>
      <c r="P132" s="27"/>
      <c r="Q132" s="99"/>
      <c r="R132" s="29" t="s">
        <v>196</v>
      </c>
      <c r="S132" s="29"/>
      <c r="T132" s="28"/>
    </row>
    <row r="133" spans="1:20" ht="15" customHeight="1" x14ac:dyDescent="0.3">
      <c r="A133" s="48">
        <v>7</v>
      </c>
      <c r="B133" s="16" t="str">
        <f t="shared" si="18"/>
        <v>01</v>
      </c>
      <c r="C133" s="16" t="str">
        <f t="shared" si="19"/>
        <v>03</v>
      </c>
      <c r="D133" s="16" t="s">
        <v>33</v>
      </c>
      <c r="E133" s="16" t="s">
        <v>70</v>
      </c>
      <c r="F133" s="16">
        <f t="shared" si="20"/>
        <v>2015</v>
      </c>
      <c r="G133" s="13" t="s">
        <v>197</v>
      </c>
      <c r="H133" s="13"/>
      <c r="I133" s="13" t="s">
        <v>45</v>
      </c>
      <c r="J133" s="14">
        <v>2015</v>
      </c>
      <c r="K133" s="14">
        <v>1</v>
      </c>
      <c r="L133" s="14" t="s">
        <v>42</v>
      </c>
      <c r="M133" s="15" t="s">
        <v>19</v>
      </c>
      <c r="N133" s="15" t="s">
        <v>19</v>
      </c>
      <c r="O133" s="14" t="s">
        <v>342</v>
      </c>
      <c r="P133" s="13"/>
      <c r="Q133" s="98"/>
      <c r="R133" s="14" t="s">
        <v>196</v>
      </c>
      <c r="S133" s="14"/>
      <c r="T133" s="22"/>
    </row>
    <row r="134" spans="1:20" ht="15" customHeight="1" x14ac:dyDescent="0.3">
      <c r="A134" s="55">
        <v>8</v>
      </c>
      <c r="B134" s="32" t="str">
        <f t="shared" si="18"/>
        <v>01</v>
      </c>
      <c r="C134" s="32" t="str">
        <f t="shared" si="19"/>
        <v>03</v>
      </c>
      <c r="D134" s="32" t="s">
        <v>33</v>
      </c>
      <c r="E134" s="32" t="s">
        <v>343</v>
      </c>
      <c r="F134" s="32">
        <f t="shared" si="20"/>
        <v>2015</v>
      </c>
      <c r="G134" s="27" t="s">
        <v>197</v>
      </c>
      <c r="H134" s="27"/>
      <c r="I134" s="27" t="s">
        <v>45</v>
      </c>
      <c r="J134" s="29">
        <v>2015</v>
      </c>
      <c r="K134" s="29">
        <v>1</v>
      </c>
      <c r="L134" s="29" t="s">
        <v>42</v>
      </c>
      <c r="M134" s="30" t="s">
        <v>19</v>
      </c>
      <c r="N134" s="30" t="s">
        <v>19</v>
      </c>
      <c r="O134" s="29" t="s">
        <v>342</v>
      </c>
      <c r="P134" s="27"/>
      <c r="Q134" s="99"/>
      <c r="R134" s="29" t="s">
        <v>196</v>
      </c>
      <c r="S134" s="29"/>
      <c r="T134" s="28"/>
    </row>
    <row r="135" spans="1:20" ht="15" customHeight="1" x14ac:dyDescent="0.3">
      <c r="A135" s="118">
        <v>9</v>
      </c>
      <c r="B135" s="112" t="str">
        <f t="shared" si="18"/>
        <v>01</v>
      </c>
      <c r="C135" s="112" t="str">
        <f t="shared" si="19"/>
        <v>03</v>
      </c>
      <c r="D135" s="112" t="s">
        <v>33</v>
      </c>
      <c r="E135" s="112" t="s">
        <v>71</v>
      </c>
      <c r="F135" s="112">
        <f t="shared" si="20"/>
        <v>2015</v>
      </c>
      <c r="G135" s="113" t="s">
        <v>197</v>
      </c>
      <c r="H135" s="113"/>
      <c r="I135" s="113" t="s">
        <v>45</v>
      </c>
      <c r="J135" s="115">
        <v>2015</v>
      </c>
      <c r="K135" s="115">
        <v>1</v>
      </c>
      <c r="L135" s="115" t="s">
        <v>42</v>
      </c>
      <c r="M135" s="116" t="s">
        <v>19</v>
      </c>
      <c r="N135" s="116" t="s">
        <v>19</v>
      </c>
      <c r="O135" s="115" t="s">
        <v>352</v>
      </c>
      <c r="P135" s="113"/>
      <c r="Q135" s="119"/>
      <c r="R135" s="115" t="s">
        <v>196</v>
      </c>
      <c r="S135" s="115"/>
      <c r="T135" s="114"/>
    </row>
    <row r="136" spans="1:20" x14ac:dyDescent="0.3">
      <c r="A136" s="118">
        <v>10</v>
      </c>
      <c r="B136" s="112" t="str">
        <f t="shared" si="18"/>
        <v>01</v>
      </c>
      <c r="C136" s="112" t="str">
        <f t="shared" si="19"/>
        <v>03</v>
      </c>
      <c r="D136" s="112" t="s">
        <v>33</v>
      </c>
      <c r="E136" s="112" t="s">
        <v>72</v>
      </c>
      <c r="F136" s="112">
        <f t="shared" si="20"/>
        <v>2015</v>
      </c>
      <c r="G136" s="113" t="s">
        <v>197</v>
      </c>
      <c r="H136" s="113"/>
      <c r="I136" s="113" t="s">
        <v>45</v>
      </c>
      <c r="J136" s="115">
        <v>2015</v>
      </c>
      <c r="K136" s="115">
        <v>1</v>
      </c>
      <c r="L136" s="115" t="s">
        <v>42</v>
      </c>
      <c r="M136" s="116" t="s">
        <v>19</v>
      </c>
      <c r="N136" s="116" t="s">
        <v>19</v>
      </c>
      <c r="O136" s="115" t="s">
        <v>352</v>
      </c>
      <c r="P136" s="113"/>
      <c r="Q136" s="119"/>
      <c r="R136" s="115" t="s">
        <v>196</v>
      </c>
      <c r="S136" s="115"/>
      <c r="T136" s="114"/>
    </row>
    <row r="137" spans="1:20" x14ac:dyDescent="0.3">
      <c r="A137" s="118">
        <v>11</v>
      </c>
      <c r="B137" s="112" t="str">
        <f t="shared" si="18"/>
        <v>01</v>
      </c>
      <c r="C137" s="112" t="str">
        <f t="shared" si="19"/>
        <v>03</v>
      </c>
      <c r="D137" s="112" t="s">
        <v>33</v>
      </c>
      <c r="E137" s="112" t="s">
        <v>355</v>
      </c>
      <c r="F137" s="112">
        <f t="shared" si="20"/>
        <v>2015</v>
      </c>
      <c r="G137" s="113" t="s">
        <v>197</v>
      </c>
      <c r="H137" s="113"/>
      <c r="I137" s="113" t="s">
        <v>45</v>
      </c>
      <c r="J137" s="115">
        <v>2015</v>
      </c>
      <c r="K137" s="115">
        <v>1</v>
      </c>
      <c r="L137" s="115" t="s">
        <v>42</v>
      </c>
      <c r="M137" s="116" t="s">
        <v>19</v>
      </c>
      <c r="N137" s="116" t="s">
        <v>19</v>
      </c>
      <c r="O137" s="115" t="s">
        <v>352</v>
      </c>
      <c r="P137" s="113"/>
      <c r="Q137" s="119"/>
      <c r="R137" s="115" t="s">
        <v>196</v>
      </c>
      <c r="S137" s="115"/>
      <c r="T137" s="114"/>
    </row>
    <row r="138" spans="1:20" x14ac:dyDescent="0.3">
      <c r="A138" s="48"/>
      <c r="B138" s="61"/>
      <c r="C138" s="49"/>
      <c r="D138" s="49"/>
      <c r="E138" s="49"/>
      <c r="F138" s="69"/>
      <c r="G138" s="62"/>
      <c r="H138" s="62"/>
      <c r="I138" s="62"/>
      <c r="J138" s="63"/>
      <c r="K138" s="63"/>
      <c r="L138" s="14"/>
      <c r="M138" s="15"/>
      <c r="N138" s="15"/>
      <c r="O138" s="63"/>
      <c r="P138" s="70"/>
      <c r="Q138" s="70"/>
      <c r="R138" s="14"/>
      <c r="S138" s="14"/>
      <c r="T138" s="22"/>
    </row>
    <row r="139" spans="1:20" x14ac:dyDescent="0.3">
      <c r="A139" s="48"/>
      <c r="B139" s="61"/>
      <c r="C139" s="49"/>
      <c r="D139" s="49"/>
      <c r="E139" s="49"/>
      <c r="F139" s="69"/>
      <c r="G139" s="62"/>
      <c r="H139" s="62"/>
      <c r="I139" s="62"/>
      <c r="J139" s="63"/>
      <c r="K139" s="63"/>
      <c r="L139" s="14"/>
      <c r="M139" s="15"/>
      <c r="N139" s="15"/>
      <c r="O139" s="63"/>
      <c r="P139" s="70"/>
      <c r="Q139" s="70"/>
      <c r="R139" s="14"/>
      <c r="S139" s="14"/>
      <c r="T139" s="22"/>
    </row>
    <row r="140" spans="1:20" x14ac:dyDescent="0.3">
      <c r="A140" s="73" t="s">
        <v>34</v>
      </c>
      <c r="B140" s="186" t="s">
        <v>293</v>
      </c>
      <c r="C140" s="187"/>
      <c r="D140" s="187"/>
      <c r="E140" s="187"/>
      <c r="F140" s="187"/>
      <c r="G140" s="188"/>
      <c r="H140" s="57"/>
      <c r="I140" s="57"/>
      <c r="J140" s="56"/>
      <c r="K140" s="56"/>
      <c r="L140" s="58"/>
      <c r="M140" s="58"/>
      <c r="N140" s="58"/>
      <c r="O140" s="56"/>
      <c r="P140" s="60"/>
      <c r="Q140" s="60"/>
      <c r="R140" s="58"/>
      <c r="S140" s="58"/>
      <c r="T140" s="76"/>
    </row>
    <row r="141" spans="1:20" x14ac:dyDescent="0.3">
      <c r="A141" s="48">
        <v>1</v>
      </c>
      <c r="B141" s="16" t="str">
        <f t="shared" ref="B141:B155" si="21">$A$3</f>
        <v>01</v>
      </c>
      <c r="C141" s="16" t="str">
        <f t="shared" ref="C141:C155" si="22">$A$4</f>
        <v>03</v>
      </c>
      <c r="D141" s="16" t="s">
        <v>34</v>
      </c>
      <c r="E141" s="16" t="s">
        <v>151</v>
      </c>
      <c r="F141" s="16">
        <f t="shared" ref="F141:F148" si="23">J141</f>
        <v>2015</v>
      </c>
      <c r="G141" s="13" t="s">
        <v>262</v>
      </c>
      <c r="H141" s="13" t="s">
        <v>264</v>
      </c>
      <c r="I141" s="13" t="s">
        <v>133</v>
      </c>
      <c r="J141" s="14">
        <v>2015</v>
      </c>
      <c r="K141" s="14">
        <v>1</v>
      </c>
      <c r="L141" s="14" t="s">
        <v>42</v>
      </c>
      <c r="M141" s="15" t="s">
        <v>19</v>
      </c>
      <c r="N141" s="15" t="s">
        <v>19</v>
      </c>
      <c r="O141" s="14" t="s">
        <v>163</v>
      </c>
      <c r="P141" s="13"/>
      <c r="Q141" s="98"/>
      <c r="R141" s="14" t="s">
        <v>263</v>
      </c>
      <c r="S141" s="14"/>
      <c r="T141" s="22"/>
    </row>
    <row r="142" spans="1:20" x14ac:dyDescent="0.3">
      <c r="A142" s="48">
        <v>2</v>
      </c>
      <c r="B142" s="16" t="str">
        <f t="shared" si="21"/>
        <v>01</v>
      </c>
      <c r="C142" s="16" t="str">
        <f t="shared" si="22"/>
        <v>03</v>
      </c>
      <c r="D142" s="16" t="s">
        <v>34</v>
      </c>
      <c r="E142" s="16" t="s">
        <v>152</v>
      </c>
      <c r="F142" s="16">
        <f t="shared" si="23"/>
        <v>2015</v>
      </c>
      <c r="G142" s="13" t="s">
        <v>265</v>
      </c>
      <c r="H142" s="13" t="s">
        <v>266</v>
      </c>
      <c r="I142" s="13" t="s">
        <v>133</v>
      </c>
      <c r="J142" s="14">
        <v>2015</v>
      </c>
      <c r="K142" s="14">
        <v>1</v>
      </c>
      <c r="L142" s="14" t="s">
        <v>42</v>
      </c>
      <c r="M142" s="15" t="s">
        <v>19</v>
      </c>
      <c r="N142" s="15" t="s">
        <v>19</v>
      </c>
      <c r="O142" s="14" t="s">
        <v>163</v>
      </c>
      <c r="P142" s="13"/>
      <c r="Q142" s="33" t="s">
        <v>267</v>
      </c>
      <c r="R142" s="14" t="s">
        <v>268</v>
      </c>
      <c r="S142" s="14"/>
      <c r="T142" s="22"/>
    </row>
    <row r="143" spans="1:20" x14ac:dyDescent="0.3">
      <c r="A143" s="48">
        <v>3</v>
      </c>
      <c r="B143" s="16" t="str">
        <f t="shared" si="21"/>
        <v>01</v>
      </c>
      <c r="C143" s="16" t="str">
        <f t="shared" si="22"/>
        <v>03</v>
      </c>
      <c r="D143" s="16" t="s">
        <v>34</v>
      </c>
      <c r="E143" s="16" t="s">
        <v>153</v>
      </c>
      <c r="F143" s="16">
        <f t="shared" si="23"/>
        <v>2015</v>
      </c>
      <c r="G143" s="13" t="s">
        <v>294</v>
      </c>
      <c r="H143" s="13" t="s">
        <v>295</v>
      </c>
      <c r="I143" s="13" t="s">
        <v>133</v>
      </c>
      <c r="J143" s="14">
        <v>2015</v>
      </c>
      <c r="K143" s="14">
        <v>1</v>
      </c>
      <c r="L143" s="14" t="s">
        <v>42</v>
      </c>
      <c r="M143" s="15" t="s">
        <v>19</v>
      </c>
      <c r="N143" s="15" t="s">
        <v>19</v>
      </c>
      <c r="O143" s="14" t="s">
        <v>163</v>
      </c>
      <c r="P143" s="13"/>
      <c r="Q143" s="33" t="s">
        <v>299</v>
      </c>
      <c r="R143" s="14"/>
      <c r="S143" s="14"/>
      <c r="T143" s="22"/>
    </row>
    <row r="144" spans="1:20" x14ac:dyDescent="0.3">
      <c r="A144" s="48">
        <v>4</v>
      </c>
      <c r="B144" s="16" t="str">
        <f t="shared" si="21"/>
        <v>01</v>
      </c>
      <c r="C144" s="16" t="str">
        <f t="shared" si="22"/>
        <v>03</v>
      </c>
      <c r="D144" s="16" t="s">
        <v>34</v>
      </c>
      <c r="E144" s="16" t="s">
        <v>154</v>
      </c>
      <c r="F144" s="16">
        <f t="shared" si="23"/>
        <v>2015</v>
      </c>
      <c r="G144" s="13" t="s">
        <v>296</v>
      </c>
      <c r="H144" s="13" t="s">
        <v>297</v>
      </c>
      <c r="I144" s="13" t="s">
        <v>133</v>
      </c>
      <c r="J144" s="14">
        <v>2015</v>
      </c>
      <c r="K144" s="14">
        <v>1</v>
      </c>
      <c r="L144" s="14" t="s">
        <v>42</v>
      </c>
      <c r="M144" s="15" t="s">
        <v>19</v>
      </c>
      <c r="N144" s="15" t="s">
        <v>19</v>
      </c>
      <c r="O144" s="14" t="s">
        <v>163</v>
      </c>
      <c r="P144" s="13"/>
      <c r="Q144" s="33" t="s">
        <v>298</v>
      </c>
      <c r="R144" s="14"/>
      <c r="S144" s="14"/>
      <c r="T144" s="22"/>
    </row>
    <row r="145" spans="1:20" ht="15" customHeight="1" x14ac:dyDescent="0.3">
      <c r="A145" s="48">
        <v>5</v>
      </c>
      <c r="B145" s="16" t="str">
        <f t="shared" si="21"/>
        <v>01</v>
      </c>
      <c r="C145" s="16" t="str">
        <f t="shared" si="22"/>
        <v>03</v>
      </c>
      <c r="D145" s="16" t="s">
        <v>34</v>
      </c>
      <c r="E145" s="16" t="s">
        <v>155</v>
      </c>
      <c r="F145" s="16">
        <f t="shared" si="23"/>
        <v>2015</v>
      </c>
      <c r="G145" s="13" t="s">
        <v>294</v>
      </c>
      <c r="H145" s="13" t="s">
        <v>300</v>
      </c>
      <c r="I145" s="13" t="s">
        <v>301</v>
      </c>
      <c r="J145" s="14">
        <v>2015</v>
      </c>
      <c r="K145" s="14">
        <v>1</v>
      </c>
      <c r="L145" s="14" t="s">
        <v>42</v>
      </c>
      <c r="M145" s="15" t="s">
        <v>19</v>
      </c>
      <c r="N145" s="15" t="s">
        <v>19</v>
      </c>
      <c r="O145" s="14" t="s">
        <v>163</v>
      </c>
      <c r="P145" s="13"/>
      <c r="Q145" s="33" t="s">
        <v>302</v>
      </c>
      <c r="R145" s="14" t="s">
        <v>303</v>
      </c>
      <c r="S145" s="14"/>
      <c r="T145" s="22"/>
    </row>
    <row r="146" spans="1:20" x14ac:dyDescent="0.3">
      <c r="A146" s="48">
        <v>6</v>
      </c>
      <c r="B146" s="16" t="str">
        <f t="shared" si="21"/>
        <v>01</v>
      </c>
      <c r="C146" s="16" t="str">
        <f t="shared" si="22"/>
        <v>03</v>
      </c>
      <c r="D146" s="16" t="s">
        <v>34</v>
      </c>
      <c r="E146" s="16" t="s">
        <v>202</v>
      </c>
      <c r="F146" s="16">
        <f t="shared" si="23"/>
        <v>2015</v>
      </c>
      <c r="G146" s="13" t="s">
        <v>294</v>
      </c>
      <c r="H146" s="13" t="s">
        <v>300</v>
      </c>
      <c r="I146" s="13" t="s">
        <v>301</v>
      </c>
      <c r="J146" s="14">
        <v>2015</v>
      </c>
      <c r="K146" s="14">
        <v>1</v>
      </c>
      <c r="L146" s="14" t="s">
        <v>42</v>
      </c>
      <c r="M146" s="15" t="s">
        <v>19</v>
      </c>
      <c r="N146" s="15" t="s">
        <v>19</v>
      </c>
      <c r="O146" s="14" t="s">
        <v>163</v>
      </c>
      <c r="P146" s="13"/>
      <c r="Q146" s="33" t="s">
        <v>302</v>
      </c>
      <c r="R146" s="14" t="s">
        <v>303</v>
      </c>
      <c r="S146" s="14"/>
      <c r="T146" s="22"/>
    </row>
    <row r="147" spans="1:20" x14ac:dyDescent="0.3">
      <c r="A147" s="48">
        <v>7</v>
      </c>
      <c r="B147" s="16" t="str">
        <f t="shared" si="21"/>
        <v>01</v>
      </c>
      <c r="C147" s="16" t="str">
        <f t="shared" si="22"/>
        <v>03</v>
      </c>
      <c r="D147" s="16" t="s">
        <v>34</v>
      </c>
      <c r="E147" s="16" t="s">
        <v>199</v>
      </c>
      <c r="F147" s="16">
        <f t="shared" si="23"/>
        <v>2015</v>
      </c>
      <c r="G147" s="13" t="s">
        <v>294</v>
      </c>
      <c r="H147" s="13" t="s">
        <v>295</v>
      </c>
      <c r="I147" s="13" t="s">
        <v>301</v>
      </c>
      <c r="J147" s="14">
        <v>2015</v>
      </c>
      <c r="K147" s="14">
        <v>1</v>
      </c>
      <c r="L147" s="14" t="s">
        <v>42</v>
      </c>
      <c r="M147" s="15" t="s">
        <v>19</v>
      </c>
      <c r="N147" s="15" t="s">
        <v>19</v>
      </c>
      <c r="O147" s="14" t="s">
        <v>163</v>
      </c>
      <c r="P147" s="13"/>
      <c r="Q147" s="33" t="s">
        <v>302</v>
      </c>
      <c r="R147" s="14" t="s">
        <v>304</v>
      </c>
      <c r="S147" s="14" t="s">
        <v>309</v>
      </c>
      <c r="T147" s="22"/>
    </row>
    <row r="148" spans="1:20" x14ac:dyDescent="0.3">
      <c r="A148" s="48">
        <v>8</v>
      </c>
      <c r="B148" s="16" t="str">
        <f t="shared" si="21"/>
        <v>01</v>
      </c>
      <c r="C148" s="16" t="str">
        <f t="shared" si="22"/>
        <v>03</v>
      </c>
      <c r="D148" s="16" t="s">
        <v>34</v>
      </c>
      <c r="E148" s="16" t="s">
        <v>200</v>
      </c>
      <c r="F148" s="16">
        <f t="shared" si="23"/>
        <v>2015</v>
      </c>
      <c r="G148" s="13" t="s">
        <v>294</v>
      </c>
      <c r="H148" s="13" t="s">
        <v>295</v>
      </c>
      <c r="I148" s="13" t="s">
        <v>301</v>
      </c>
      <c r="J148" s="14">
        <v>2015</v>
      </c>
      <c r="K148" s="14">
        <v>1</v>
      </c>
      <c r="L148" s="14" t="s">
        <v>42</v>
      </c>
      <c r="M148" s="15" t="s">
        <v>19</v>
      </c>
      <c r="N148" s="15" t="s">
        <v>19</v>
      </c>
      <c r="O148" s="14" t="s">
        <v>163</v>
      </c>
      <c r="P148" s="13"/>
      <c r="Q148" s="33" t="s">
        <v>302</v>
      </c>
      <c r="R148" s="14" t="s">
        <v>304</v>
      </c>
      <c r="S148" s="14" t="s">
        <v>309</v>
      </c>
      <c r="T148" s="22"/>
    </row>
    <row r="149" spans="1:20" x14ac:dyDescent="0.3">
      <c r="A149" s="48">
        <v>9</v>
      </c>
      <c r="B149" s="16" t="str">
        <f t="shared" si="21"/>
        <v>01</v>
      </c>
      <c r="C149" s="16" t="str">
        <f t="shared" si="22"/>
        <v>03</v>
      </c>
      <c r="D149" s="16" t="s">
        <v>34</v>
      </c>
      <c r="E149" s="16" t="s">
        <v>79</v>
      </c>
      <c r="F149" s="16">
        <f t="shared" ref="F149" si="24">J149</f>
        <v>2023</v>
      </c>
      <c r="G149" s="20" t="s">
        <v>370</v>
      </c>
      <c r="H149" s="94" t="s">
        <v>371</v>
      </c>
      <c r="I149" s="94" t="s">
        <v>369</v>
      </c>
      <c r="J149" s="40">
        <v>2023</v>
      </c>
      <c r="K149" s="40">
        <v>1</v>
      </c>
      <c r="L149" s="40" t="s">
        <v>42</v>
      </c>
      <c r="M149" s="41" t="s">
        <v>19</v>
      </c>
      <c r="N149" s="41" t="s">
        <v>19</v>
      </c>
      <c r="O149" s="40" t="s">
        <v>163</v>
      </c>
      <c r="P149" s="150"/>
      <c r="Q149" s="92" t="s">
        <v>372</v>
      </c>
      <c r="R149" s="14" t="s">
        <v>303</v>
      </c>
      <c r="S149" s="14"/>
      <c r="T149" s="22"/>
    </row>
    <row r="150" spans="1:20" x14ac:dyDescent="0.3">
      <c r="A150" s="48">
        <v>10</v>
      </c>
      <c r="B150" s="16" t="str">
        <f t="shared" si="21"/>
        <v>01</v>
      </c>
      <c r="C150" s="16" t="str">
        <f t="shared" si="22"/>
        <v>03</v>
      </c>
      <c r="D150" s="16" t="s">
        <v>34</v>
      </c>
      <c r="E150" s="16" t="s">
        <v>80</v>
      </c>
      <c r="F150" s="16">
        <f t="shared" ref="F150:F151" si="25">J150</f>
        <v>2023</v>
      </c>
      <c r="G150" s="20" t="s">
        <v>370</v>
      </c>
      <c r="H150" s="94" t="s">
        <v>371</v>
      </c>
      <c r="I150" s="94" t="s">
        <v>369</v>
      </c>
      <c r="J150" s="40">
        <v>2023</v>
      </c>
      <c r="K150" s="40">
        <v>1</v>
      </c>
      <c r="L150" s="40" t="s">
        <v>42</v>
      </c>
      <c r="M150" s="41" t="s">
        <v>19</v>
      </c>
      <c r="N150" s="41" t="s">
        <v>19</v>
      </c>
      <c r="O150" s="40" t="s">
        <v>163</v>
      </c>
      <c r="P150" s="150"/>
      <c r="Q150" s="92" t="s">
        <v>302</v>
      </c>
      <c r="R150" s="14" t="s">
        <v>303</v>
      </c>
      <c r="S150" s="14"/>
      <c r="T150" s="22"/>
    </row>
    <row r="151" spans="1:20" x14ac:dyDescent="0.3">
      <c r="A151" s="48">
        <v>11</v>
      </c>
      <c r="B151" s="16" t="str">
        <f t="shared" si="21"/>
        <v>01</v>
      </c>
      <c r="C151" s="16" t="str">
        <f t="shared" si="22"/>
        <v>03</v>
      </c>
      <c r="D151" s="16" t="s">
        <v>34</v>
      </c>
      <c r="E151" s="16" t="s">
        <v>376</v>
      </c>
      <c r="F151" s="16">
        <f t="shared" si="25"/>
        <v>2023</v>
      </c>
      <c r="G151" s="20" t="s">
        <v>370</v>
      </c>
      <c r="H151" s="94" t="s">
        <v>371</v>
      </c>
      <c r="I151" s="94" t="s">
        <v>369</v>
      </c>
      <c r="J151" s="40">
        <v>2023</v>
      </c>
      <c r="K151" s="40">
        <v>1</v>
      </c>
      <c r="L151" s="40" t="s">
        <v>42</v>
      </c>
      <c r="M151" s="41" t="s">
        <v>19</v>
      </c>
      <c r="N151" s="41" t="s">
        <v>19</v>
      </c>
      <c r="O151" s="40" t="s">
        <v>163</v>
      </c>
      <c r="P151" s="150"/>
      <c r="Q151" s="92" t="s">
        <v>302</v>
      </c>
      <c r="R151" s="14" t="s">
        <v>303</v>
      </c>
      <c r="S151" s="14"/>
      <c r="T151" s="22"/>
    </row>
    <row r="152" spans="1:20" x14ac:dyDescent="0.3">
      <c r="A152" s="48">
        <v>12</v>
      </c>
      <c r="B152" s="16" t="str">
        <f t="shared" si="21"/>
        <v>01</v>
      </c>
      <c r="C152" s="16" t="str">
        <f t="shared" si="22"/>
        <v>03</v>
      </c>
      <c r="D152" s="16" t="s">
        <v>34</v>
      </c>
      <c r="E152" s="16" t="s">
        <v>219</v>
      </c>
      <c r="F152" s="16">
        <f t="shared" ref="F152:F154" si="26">J152</f>
        <v>2015</v>
      </c>
      <c r="G152" s="20" t="s">
        <v>373</v>
      </c>
      <c r="H152" s="94" t="s">
        <v>374</v>
      </c>
      <c r="I152" s="94" t="s">
        <v>369</v>
      </c>
      <c r="J152" s="40">
        <v>2015</v>
      </c>
      <c r="K152" s="40">
        <v>1</v>
      </c>
      <c r="L152" s="40" t="s">
        <v>103</v>
      </c>
      <c r="M152" s="41" t="s">
        <v>19</v>
      </c>
      <c r="N152" s="41" t="s">
        <v>19</v>
      </c>
      <c r="O152" s="40" t="s">
        <v>163</v>
      </c>
      <c r="P152" s="150"/>
      <c r="Q152" s="92" t="s">
        <v>372</v>
      </c>
      <c r="R152" s="14" t="s">
        <v>303</v>
      </c>
      <c r="S152" s="14"/>
      <c r="T152" s="22"/>
    </row>
    <row r="153" spans="1:20" x14ac:dyDescent="0.3">
      <c r="A153" s="48">
        <v>13</v>
      </c>
      <c r="B153" s="16" t="str">
        <f t="shared" si="21"/>
        <v>01</v>
      </c>
      <c r="C153" s="16" t="str">
        <f t="shared" si="22"/>
        <v>03</v>
      </c>
      <c r="D153" s="16" t="s">
        <v>34</v>
      </c>
      <c r="E153" s="16" t="s">
        <v>220</v>
      </c>
      <c r="F153" s="16">
        <f t="shared" si="26"/>
        <v>2015</v>
      </c>
      <c r="G153" s="20" t="s">
        <v>373</v>
      </c>
      <c r="H153" s="94" t="s">
        <v>374</v>
      </c>
      <c r="I153" s="94" t="s">
        <v>369</v>
      </c>
      <c r="J153" s="40">
        <v>2015</v>
      </c>
      <c r="K153" s="40">
        <v>1</v>
      </c>
      <c r="L153" s="40" t="s">
        <v>103</v>
      </c>
      <c r="M153" s="41" t="s">
        <v>19</v>
      </c>
      <c r="N153" s="41" t="s">
        <v>19</v>
      </c>
      <c r="O153" s="40" t="s">
        <v>163</v>
      </c>
      <c r="P153" s="150"/>
      <c r="Q153" s="92" t="s">
        <v>302</v>
      </c>
      <c r="R153" s="14" t="s">
        <v>375</v>
      </c>
      <c r="S153" s="14"/>
      <c r="T153" s="22"/>
    </row>
    <row r="154" spans="1:20" x14ac:dyDescent="0.3">
      <c r="A154" s="48">
        <v>14</v>
      </c>
      <c r="B154" s="16" t="str">
        <f t="shared" si="21"/>
        <v>01</v>
      </c>
      <c r="C154" s="16" t="str">
        <f t="shared" si="22"/>
        <v>03</v>
      </c>
      <c r="D154" s="16" t="s">
        <v>34</v>
      </c>
      <c r="E154" s="16" t="s">
        <v>377</v>
      </c>
      <c r="F154" s="16">
        <f t="shared" si="26"/>
        <v>2015</v>
      </c>
      <c r="G154" s="20" t="s">
        <v>373</v>
      </c>
      <c r="H154" s="94" t="s">
        <v>374</v>
      </c>
      <c r="I154" s="94" t="s">
        <v>369</v>
      </c>
      <c r="J154" s="40">
        <v>2015</v>
      </c>
      <c r="K154" s="40">
        <v>1</v>
      </c>
      <c r="L154" s="40" t="s">
        <v>103</v>
      </c>
      <c r="M154" s="41" t="s">
        <v>19</v>
      </c>
      <c r="N154" s="41" t="s">
        <v>19</v>
      </c>
      <c r="O154" s="40" t="s">
        <v>163</v>
      </c>
      <c r="P154" s="150"/>
      <c r="Q154" s="92" t="s">
        <v>302</v>
      </c>
      <c r="R154" s="14" t="s">
        <v>375</v>
      </c>
      <c r="S154" s="14"/>
      <c r="T154" s="22"/>
    </row>
    <row r="155" spans="1:20" x14ac:dyDescent="0.3">
      <c r="A155" s="48">
        <v>15</v>
      </c>
      <c r="B155" s="16" t="str">
        <f t="shared" si="21"/>
        <v>01</v>
      </c>
      <c r="C155" s="16" t="str">
        <f t="shared" si="22"/>
        <v>03</v>
      </c>
      <c r="D155" s="16" t="s">
        <v>34</v>
      </c>
      <c r="E155" s="16" t="s">
        <v>195</v>
      </c>
      <c r="F155" s="16">
        <f t="shared" ref="F155" si="27">J155</f>
        <v>2015</v>
      </c>
      <c r="G155" s="20" t="s">
        <v>378</v>
      </c>
      <c r="H155" s="94"/>
      <c r="I155" s="94" t="s">
        <v>133</v>
      </c>
      <c r="J155" s="40">
        <v>2015</v>
      </c>
      <c r="K155" s="40">
        <v>1</v>
      </c>
      <c r="L155" s="40" t="s">
        <v>103</v>
      </c>
      <c r="M155" s="41" t="s">
        <v>19</v>
      </c>
      <c r="N155" s="41" t="s">
        <v>19</v>
      </c>
      <c r="O155" s="40" t="s">
        <v>163</v>
      </c>
      <c r="P155" s="150"/>
      <c r="Q155" s="92" t="s">
        <v>378</v>
      </c>
      <c r="R155" s="14" t="s">
        <v>303</v>
      </c>
      <c r="S155" s="14"/>
      <c r="T155" s="22"/>
    </row>
    <row r="156" spans="1:20" x14ac:dyDescent="0.3">
      <c r="A156" s="48"/>
      <c r="B156" s="18"/>
      <c r="C156" s="19"/>
      <c r="D156" s="19"/>
      <c r="E156" s="19"/>
      <c r="F156" s="19"/>
      <c r="G156" s="20"/>
      <c r="H156" s="94"/>
      <c r="I156" s="94"/>
      <c r="J156" s="40"/>
      <c r="K156" s="40"/>
      <c r="L156" s="40"/>
      <c r="M156" s="41"/>
      <c r="N156" s="41"/>
      <c r="O156" s="40"/>
      <c r="P156" s="150"/>
      <c r="Q156" s="92"/>
      <c r="R156" s="14"/>
      <c r="S156" s="14"/>
      <c r="T156" s="22"/>
    </row>
    <row r="157" spans="1:20" x14ac:dyDescent="0.3">
      <c r="A157" s="73" t="s">
        <v>114</v>
      </c>
      <c r="B157" s="186" t="s">
        <v>239</v>
      </c>
      <c r="C157" s="187"/>
      <c r="D157" s="187"/>
      <c r="E157" s="187"/>
      <c r="F157" s="187"/>
      <c r="G157" s="188"/>
      <c r="H157" s="44"/>
      <c r="I157" s="43"/>
      <c r="J157" s="45"/>
      <c r="K157" s="45"/>
      <c r="L157" s="45"/>
      <c r="M157" s="46"/>
      <c r="N157" s="46"/>
      <c r="O157" s="45"/>
      <c r="P157" s="47"/>
      <c r="Q157" s="47"/>
      <c r="R157" s="58"/>
      <c r="S157" s="58"/>
      <c r="T157" s="76"/>
    </row>
    <row r="158" spans="1:20" x14ac:dyDescent="0.3">
      <c r="A158" s="11">
        <v>1</v>
      </c>
      <c r="B158" s="16" t="str">
        <f t="shared" ref="B158:B174" si="28">$A$3</f>
        <v>01</v>
      </c>
      <c r="C158" s="16" t="str">
        <f t="shared" ref="C158:C174" si="29">$A$4</f>
        <v>03</v>
      </c>
      <c r="D158" s="36" t="s">
        <v>114</v>
      </c>
      <c r="E158" s="16" t="s">
        <v>151</v>
      </c>
      <c r="F158" s="16">
        <v>2013</v>
      </c>
      <c r="G158" s="13"/>
      <c r="H158" s="22"/>
      <c r="I158" s="13" t="s">
        <v>45</v>
      </c>
      <c r="J158" s="14">
        <v>2013</v>
      </c>
      <c r="K158" s="14">
        <v>1</v>
      </c>
      <c r="L158" s="14" t="s">
        <v>42</v>
      </c>
      <c r="M158" s="15" t="s">
        <v>19</v>
      </c>
      <c r="N158" s="15" t="s">
        <v>19</v>
      </c>
      <c r="O158" s="14" t="s">
        <v>92</v>
      </c>
      <c r="P158" s="33"/>
      <c r="Q158" s="33" t="s">
        <v>238</v>
      </c>
      <c r="R158" s="14"/>
      <c r="S158" s="14"/>
      <c r="T158" s="22" t="s">
        <v>346</v>
      </c>
    </row>
    <row r="159" spans="1:20" x14ac:dyDescent="0.3">
      <c r="A159" s="24">
        <v>2</v>
      </c>
      <c r="B159" s="32" t="str">
        <f t="shared" si="28"/>
        <v>01</v>
      </c>
      <c r="C159" s="32" t="str">
        <f t="shared" si="29"/>
        <v>03</v>
      </c>
      <c r="D159" s="32" t="s">
        <v>114</v>
      </c>
      <c r="E159" s="32" t="s">
        <v>152</v>
      </c>
      <c r="F159" s="32">
        <v>2013</v>
      </c>
      <c r="G159" s="27"/>
      <c r="H159" s="28"/>
      <c r="I159" s="27" t="s">
        <v>45</v>
      </c>
      <c r="J159" s="29">
        <v>2013</v>
      </c>
      <c r="K159" s="29">
        <v>1</v>
      </c>
      <c r="L159" s="29" t="s">
        <v>42</v>
      </c>
      <c r="M159" s="30" t="s">
        <v>19</v>
      </c>
      <c r="N159" s="30" t="s">
        <v>19</v>
      </c>
      <c r="O159" s="29" t="s">
        <v>92</v>
      </c>
      <c r="P159" s="34"/>
      <c r="Q159" s="34" t="s">
        <v>238</v>
      </c>
      <c r="R159" s="29"/>
      <c r="S159" s="29"/>
      <c r="T159" s="22" t="s">
        <v>346</v>
      </c>
    </row>
    <row r="160" spans="1:20" x14ac:dyDescent="0.3">
      <c r="A160" s="11">
        <v>3</v>
      </c>
      <c r="B160" s="16" t="str">
        <f t="shared" si="28"/>
        <v>01</v>
      </c>
      <c r="C160" s="16" t="str">
        <f t="shared" si="29"/>
        <v>03</v>
      </c>
      <c r="D160" s="36" t="s">
        <v>114</v>
      </c>
      <c r="E160" s="16" t="s">
        <v>153</v>
      </c>
      <c r="F160" s="16">
        <v>2019</v>
      </c>
      <c r="G160" s="13" t="s">
        <v>240</v>
      </c>
      <c r="H160" s="22" t="s">
        <v>242</v>
      </c>
      <c r="I160" s="13" t="s">
        <v>45</v>
      </c>
      <c r="J160" s="14">
        <v>2019</v>
      </c>
      <c r="K160" s="14">
        <v>1</v>
      </c>
      <c r="L160" s="14" t="s">
        <v>42</v>
      </c>
      <c r="M160" s="15" t="s">
        <v>19</v>
      </c>
      <c r="N160" s="15" t="s">
        <v>19</v>
      </c>
      <c r="O160" s="14" t="s">
        <v>92</v>
      </c>
      <c r="P160" s="33"/>
      <c r="Q160" s="33" t="s">
        <v>241</v>
      </c>
      <c r="R160" s="14"/>
      <c r="S160" s="14"/>
      <c r="T160" s="22"/>
    </row>
    <row r="161" spans="1:21" x14ac:dyDescent="0.3">
      <c r="A161" s="24">
        <v>4</v>
      </c>
      <c r="B161" s="32" t="str">
        <f t="shared" si="28"/>
        <v>01</v>
      </c>
      <c r="C161" s="32" t="str">
        <f t="shared" si="29"/>
        <v>03</v>
      </c>
      <c r="D161" s="32" t="s">
        <v>114</v>
      </c>
      <c r="E161" s="32" t="s">
        <v>154</v>
      </c>
      <c r="F161" s="32">
        <v>2013</v>
      </c>
      <c r="G161" s="27"/>
      <c r="H161" s="28"/>
      <c r="I161" s="27" t="s">
        <v>45</v>
      </c>
      <c r="J161" s="29">
        <v>2013</v>
      </c>
      <c r="K161" s="29">
        <v>1</v>
      </c>
      <c r="L161" s="29" t="s">
        <v>42</v>
      </c>
      <c r="M161" s="30" t="s">
        <v>19</v>
      </c>
      <c r="N161" s="30" t="s">
        <v>19</v>
      </c>
      <c r="O161" s="29" t="s">
        <v>341</v>
      </c>
      <c r="P161" s="34"/>
      <c r="Q161" s="34" t="s">
        <v>238</v>
      </c>
      <c r="R161" s="29" t="s">
        <v>304</v>
      </c>
      <c r="S161" s="29"/>
      <c r="T161" s="22" t="s">
        <v>346</v>
      </c>
    </row>
    <row r="162" spans="1:21" x14ac:dyDescent="0.3">
      <c r="A162" s="11">
        <v>5</v>
      </c>
      <c r="B162" s="16" t="str">
        <f t="shared" si="28"/>
        <v>01</v>
      </c>
      <c r="C162" s="16" t="str">
        <f t="shared" si="29"/>
        <v>03</v>
      </c>
      <c r="D162" s="36" t="s">
        <v>114</v>
      </c>
      <c r="E162" s="16" t="s">
        <v>155</v>
      </c>
      <c r="F162" s="16">
        <v>2013</v>
      </c>
      <c r="G162" s="13"/>
      <c r="H162" s="22"/>
      <c r="I162" s="13" t="s">
        <v>45</v>
      </c>
      <c r="J162" s="14">
        <v>2013</v>
      </c>
      <c r="K162" s="14">
        <v>1</v>
      </c>
      <c r="L162" s="14" t="s">
        <v>42</v>
      </c>
      <c r="M162" s="15" t="s">
        <v>19</v>
      </c>
      <c r="N162" s="15" t="s">
        <v>19</v>
      </c>
      <c r="O162" s="14" t="s">
        <v>341</v>
      </c>
      <c r="P162" s="33"/>
      <c r="Q162" s="33" t="s">
        <v>238</v>
      </c>
      <c r="R162" s="14" t="s">
        <v>345</v>
      </c>
      <c r="S162" s="14"/>
      <c r="T162" s="22" t="s">
        <v>346</v>
      </c>
    </row>
    <row r="163" spans="1:21" x14ac:dyDescent="0.3">
      <c r="A163" s="24">
        <v>6</v>
      </c>
      <c r="B163" s="32" t="str">
        <f t="shared" si="28"/>
        <v>01</v>
      </c>
      <c r="C163" s="32" t="str">
        <f t="shared" si="29"/>
        <v>03</v>
      </c>
      <c r="D163" s="32" t="s">
        <v>114</v>
      </c>
      <c r="E163" s="32" t="s">
        <v>202</v>
      </c>
      <c r="F163" s="32">
        <v>2016</v>
      </c>
      <c r="G163" s="27"/>
      <c r="H163" s="28"/>
      <c r="I163" s="27" t="s">
        <v>45</v>
      </c>
      <c r="J163" s="29">
        <v>2016</v>
      </c>
      <c r="K163" s="29">
        <v>1</v>
      </c>
      <c r="L163" s="29" t="s">
        <v>42</v>
      </c>
      <c r="M163" s="30" t="s">
        <v>19</v>
      </c>
      <c r="N163" s="30" t="s">
        <v>19</v>
      </c>
      <c r="O163" s="29" t="s">
        <v>341</v>
      </c>
      <c r="P163" s="34"/>
      <c r="Q163" s="34" t="s">
        <v>238</v>
      </c>
      <c r="R163" s="29" t="s">
        <v>304</v>
      </c>
      <c r="S163" s="29" t="s">
        <v>226</v>
      </c>
      <c r="T163" s="22" t="s">
        <v>346</v>
      </c>
    </row>
    <row r="164" spans="1:21" x14ac:dyDescent="0.3">
      <c r="A164" s="107">
        <v>7</v>
      </c>
      <c r="B164" s="101" t="str">
        <f t="shared" si="28"/>
        <v>01</v>
      </c>
      <c r="C164" s="101" t="str">
        <f t="shared" si="29"/>
        <v>03</v>
      </c>
      <c r="D164" s="101" t="s">
        <v>114</v>
      </c>
      <c r="E164" s="101" t="s">
        <v>199</v>
      </c>
      <c r="F164" s="101">
        <v>2013</v>
      </c>
      <c r="G164" s="103"/>
      <c r="H164" s="100"/>
      <c r="I164" s="103" t="s">
        <v>45</v>
      </c>
      <c r="J164" s="102">
        <v>2013</v>
      </c>
      <c r="K164" s="102">
        <v>1</v>
      </c>
      <c r="L164" s="102" t="s">
        <v>42</v>
      </c>
      <c r="M164" s="104" t="s">
        <v>19</v>
      </c>
      <c r="N164" s="104" t="s">
        <v>19</v>
      </c>
      <c r="O164" s="102" t="s">
        <v>351</v>
      </c>
      <c r="P164" s="105"/>
      <c r="Q164" s="105" t="s">
        <v>238</v>
      </c>
      <c r="R164" s="102" t="s">
        <v>304</v>
      </c>
      <c r="S164" s="102" t="s">
        <v>226</v>
      </c>
      <c r="T164" s="100" t="s">
        <v>346</v>
      </c>
    </row>
    <row r="165" spans="1:21" x14ac:dyDescent="0.3">
      <c r="A165" s="111">
        <v>8</v>
      </c>
      <c r="B165" s="112" t="str">
        <f t="shared" si="28"/>
        <v>01</v>
      </c>
      <c r="C165" s="112" t="str">
        <f t="shared" si="29"/>
        <v>03</v>
      </c>
      <c r="D165" s="112" t="s">
        <v>114</v>
      </c>
      <c r="E165" s="112" t="s">
        <v>200</v>
      </c>
      <c r="F165" s="112">
        <v>2013</v>
      </c>
      <c r="G165" s="113"/>
      <c r="H165" s="114"/>
      <c r="I165" s="113" t="s">
        <v>45</v>
      </c>
      <c r="J165" s="115">
        <v>2013</v>
      </c>
      <c r="K165" s="115">
        <v>1</v>
      </c>
      <c r="L165" s="115" t="s">
        <v>42</v>
      </c>
      <c r="M165" s="116" t="s">
        <v>19</v>
      </c>
      <c r="N165" s="116" t="s">
        <v>19</v>
      </c>
      <c r="O165" s="115" t="s">
        <v>357</v>
      </c>
      <c r="P165" s="117"/>
      <c r="Q165" s="117" t="s">
        <v>238</v>
      </c>
      <c r="R165" s="115" t="s">
        <v>304</v>
      </c>
      <c r="S165" s="115" t="s">
        <v>226</v>
      </c>
      <c r="T165" s="114" t="s">
        <v>346</v>
      </c>
    </row>
    <row r="166" spans="1:21" x14ac:dyDescent="0.3">
      <c r="A166" s="111">
        <v>9</v>
      </c>
      <c r="B166" s="112" t="str">
        <f t="shared" si="28"/>
        <v>01</v>
      </c>
      <c r="C166" s="112" t="str">
        <f t="shared" si="29"/>
        <v>03</v>
      </c>
      <c r="D166" s="112" t="s">
        <v>114</v>
      </c>
      <c r="E166" s="112" t="s">
        <v>201</v>
      </c>
      <c r="F166" s="112">
        <v>2013</v>
      </c>
      <c r="G166" s="113"/>
      <c r="H166" s="114"/>
      <c r="I166" s="113" t="s">
        <v>45</v>
      </c>
      <c r="J166" s="115">
        <v>2013</v>
      </c>
      <c r="K166" s="115">
        <v>1</v>
      </c>
      <c r="L166" s="115" t="s">
        <v>42</v>
      </c>
      <c r="M166" s="116" t="s">
        <v>19</v>
      </c>
      <c r="N166" s="116" t="s">
        <v>19</v>
      </c>
      <c r="O166" s="115" t="s">
        <v>357</v>
      </c>
      <c r="P166" s="117"/>
      <c r="Q166" s="117" t="s">
        <v>238</v>
      </c>
      <c r="R166" s="115" t="s">
        <v>304</v>
      </c>
      <c r="S166" s="115" t="s">
        <v>348</v>
      </c>
      <c r="T166" s="114" t="s">
        <v>346</v>
      </c>
    </row>
    <row r="167" spans="1:21" x14ac:dyDescent="0.3">
      <c r="A167" s="125">
        <v>10</v>
      </c>
      <c r="B167" s="126" t="str">
        <f t="shared" si="28"/>
        <v>01</v>
      </c>
      <c r="C167" s="126" t="str">
        <f t="shared" si="29"/>
        <v>03</v>
      </c>
      <c r="D167" s="126" t="s">
        <v>114</v>
      </c>
      <c r="E167" s="126" t="s">
        <v>206</v>
      </c>
      <c r="F167" s="126">
        <v>2013</v>
      </c>
      <c r="G167" s="127"/>
      <c r="H167" s="132"/>
      <c r="I167" s="127" t="s">
        <v>45</v>
      </c>
      <c r="J167" s="128">
        <v>2013</v>
      </c>
      <c r="K167" s="128">
        <v>1</v>
      </c>
      <c r="L167" s="128" t="s">
        <v>42</v>
      </c>
      <c r="M167" s="129" t="s">
        <v>19</v>
      </c>
      <c r="N167" s="129" t="s">
        <v>19</v>
      </c>
      <c r="O167" s="128" t="s">
        <v>44</v>
      </c>
      <c r="P167" s="130"/>
      <c r="Q167" s="130" t="s">
        <v>238</v>
      </c>
      <c r="R167" s="128" t="s">
        <v>304</v>
      </c>
      <c r="S167" s="128" t="s">
        <v>227</v>
      </c>
      <c r="T167" s="132" t="s">
        <v>346</v>
      </c>
    </row>
    <row r="168" spans="1:21" s="5" customFormat="1" x14ac:dyDescent="0.3">
      <c r="A168" s="131">
        <v>11</v>
      </c>
      <c r="B168" s="126" t="str">
        <f t="shared" si="28"/>
        <v>01</v>
      </c>
      <c r="C168" s="126" t="str">
        <f t="shared" si="29"/>
        <v>03</v>
      </c>
      <c r="D168" s="126" t="s">
        <v>114</v>
      </c>
      <c r="E168" s="126" t="s">
        <v>195</v>
      </c>
      <c r="F168" s="126">
        <v>2022</v>
      </c>
      <c r="G168" s="127" t="s">
        <v>359</v>
      </c>
      <c r="H168" s="132" t="s">
        <v>360</v>
      </c>
      <c r="I168" s="127" t="s">
        <v>45</v>
      </c>
      <c r="J168" s="128">
        <v>2022</v>
      </c>
      <c r="K168" s="128">
        <v>1</v>
      </c>
      <c r="L168" s="128" t="s">
        <v>42</v>
      </c>
      <c r="M168" s="129" t="s">
        <v>19</v>
      </c>
      <c r="N168" s="129" t="s">
        <v>19</v>
      </c>
      <c r="O168" s="128" t="s">
        <v>192</v>
      </c>
      <c r="P168" s="130"/>
      <c r="Q168" s="130" t="s">
        <v>241</v>
      </c>
      <c r="R168" s="128" t="s">
        <v>303</v>
      </c>
      <c r="S168" s="135" t="s">
        <v>361</v>
      </c>
      <c r="T168" s="132"/>
      <c r="U168" s="172" t="s">
        <v>362</v>
      </c>
    </row>
    <row r="169" spans="1:21" x14ac:dyDescent="0.3">
      <c r="A169" s="48">
        <v>12</v>
      </c>
      <c r="B169" s="126" t="str">
        <f t="shared" si="28"/>
        <v>01</v>
      </c>
      <c r="C169" s="126" t="str">
        <f t="shared" si="29"/>
        <v>03</v>
      </c>
      <c r="D169" s="126" t="s">
        <v>114</v>
      </c>
      <c r="E169" s="126" t="s">
        <v>207</v>
      </c>
      <c r="F169" s="126">
        <v>2024</v>
      </c>
      <c r="G169" s="20" t="s">
        <v>442</v>
      </c>
      <c r="H169" s="171"/>
      <c r="I169" s="94"/>
      <c r="J169" s="40">
        <v>2024</v>
      </c>
      <c r="K169" s="40"/>
      <c r="L169" s="40"/>
      <c r="M169" s="41"/>
      <c r="N169" s="41"/>
      <c r="O169" s="40" t="s">
        <v>443</v>
      </c>
      <c r="P169" s="92"/>
      <c r="Q169" s="92" t="s">
        <v>241</v>
      </c>
      <c r="R169" s="14" t="s">
        <v>303</v>
      </c>
      <c r="S169" s="95"/>
      <c r="T169" s="22"/>
      <c r="U169" s="21" t="s">
        <v>444</v>
      </c>
    </row>
    <row r="170" spans="1:21" x14ac:dyDescent="0.3">
      <c r="A170" s="84"/>
      <c r="B170" s="137"/>
      <c r="C170" s="65"/>
      <c r="D170" s="65"/>
      <c r="E170" s="65"/>
      <c r="F170" s="65"/>
      <c r="G170" s="152"/>
      <c r="H170" s="153"/>
      <c r="I170" s="139"/>
      <c r="J170" s="140"/>
      <c r="K170" s="140"/>
      <c r="L170" s="140"/>
      <c r="M170" s="141"/>
      <c r="N170" s="141"/>
      <c r="O170" s="140"/>
      <c r="P170" s="142"/>
      <c r="Q170" s="142"/>
      <c r="R170" s="23"/>
      <c r="S170" s="124"/>
      <c r="T170" s="72"/>
      <c r="U170" s="151"/>
    </row>
    <row r="171" spans="1:21" x14ac:dyDescent="0.3">
      <c r="A171" s="73" t="s">
        <v>115</v>
      </c>
      <c r="B171" s="186" t="s">
        <v>454</v>
      </c>
      <c r="C171" s="187"/>
      <c r="D171" s="187"/>
      <c r="E171" s="187"/>
      <c r="F171" s="187"/>
      <c r="G171" s="188"/>
      <c r="H171" s="44"/>
      <c r="I171" s="43"/>
      <c r="J171" s="45"/>
      <c r="K171" s="45"/>
      <c r="L171" s="45"/>
      <c r="M171" s="46"/>
      <c r="N171" s="46"/>
      <c r="O171" s="45"/>
      <c r="P171" s="47"/>
      <c r="Q171" s="47"/>
      <c r="R171" s="58"/>
      <c r="S171" s="58"/>
      <c r="T171" s="76"/>
      <c r="U171" s="151"/>
    </row>
    <row r="172" spans="1:21" x14ac:dyDescent="0.3">
      <c r="A172" s="11">
        <v>1</v>
      </c>
      <c r="B172" s="16" t="str">
        <f t="shared" si="28"/>
        <v>01</v>
      </c>
      <c r="C172" s="16" t="str">
        <f t="shared" si="29"/>
        <v>03</v>
      </c>
      <c r="D172" s="36" t="s">
        <v>115</v>
      </c>
      <c r="E172" s="16" t="s">
        <v>151</v>
      </c>
      <c r="F172" s="16">
        <v>2023</v>
      </c>
      <c r="G172" s="13" t="s">
        <v>382</v>
      </c>
      <c r="H172" s="22" t="s">
        <v>383</v>
      </c>
      <c r="I172" s="13" t="s">
        <v>133</v>
      </c>
      <c r="J172" s="14">
        <v>2023</v>
      </c>
      <c r="K172" s="14">
        <v>1</v>
      </c>
      <c r="L172" s="14" t="s">
        <v>42</v>
      </c>
      <c r="M172" s="15" t="s">
        <v>19</v>
      </c>
      <c r="N172" s="15" t="s">
        <v>19</v>
      </c>
      <c r="O172" s="14" t="s">
        <v>380</v>
      </c>
      <c r="P172" s="33"/>
      <c r="Q172" s="33" t="s">
        <v>381</v>
      </c>
      <c r="R172" s="14" t="s">
        <v>384</v>
      </c>
      <c r="S172" s="14" t="s">
        <v>385</v>
      </c>
      <c r="T172" s="22"/>
    </row>
    <row r="173" spans="1:21" x14ac:dyDescent="0.3">
      <c r="A173" s="48">
        <v>2</v>
      </c>
      <c r="B173" s="16" t="str">
        <f t="shared" si="28"/>
        <v>01</v>
      </c>
      <c r="C173" s="16" t="str">
        <f t="shared" si="29"/>
        <v>03</v>
      </c>
      <c r="D173" s="36" t="s">
        <v>115</v>
      </c>
      <c r="E173" s="16" t="s">
        <v>152</v>
      </c>
      <c r="F173" s="16">
        <v>2025</v>
      </c>
      <c r="G173" s="13" t="s">
        <v>452</v>
      </c>
      <c r="H173" s="22" t="s">
        <v>453</v>
      </c>
      <c r="I173" s="13" t="s">
        <v>133</v>
      </c>
      <c r="J173" s="14">
        <v>2025</v>
      </c>
      <c r="K173" s="14">
        <v>1</v>
      </c>
      <c r="L173" s="14" t="s">
        <v>42</v>
      </c>
      <c r="M173" s="15" t="s">
        <v>19</v>
      </c>
      <c r="N173" s="15" t="s">
        <v>19</v>
      </c>
      <c r="O173" s="14" t="s">
        <v>380</v>
      </c>
      <c r="P173" s="33"/>
      <c r="Q173" s="33" t="s">
        <v>451</v>
      </c>
      <c r="R173" s="14" t="s">
        <v>384</v>
      </c>
      <c r="S173" s="14" t="s">
        <v>385</v>
      </c>
      <c r="T173" s="22"/>
    </row>
    <row r="174" spans="1:21" x14ac:dyDescent="0.3">
      <c r="A174" s="48">
        <v>3</v>
      </c>
      <c r="B174" s="16" t="str">
        <f t="shared" si="28"/>
        <v>01</v>
      </c>
      <c r="C174" s="16" t="str">
        <f t="shared" si="29"/>
        <v>03</v>
      </c>
      <c r="D174" s="36" t="s">
        <v>115</v>
      </c>
      <c r="E174" s="16" t="s">
        <v>153</v>
      </c>
      <c r="F174" s="16">
        <v>2025</v>
      </c>
      <c r="G174" s="13" t="s">
        <v>456</v>
      </c>
      <c r="H174" s="173" t="s">
        <v>457</v>
      </c>
      <c r="I174" s="13" t="s">
        <v>133</v>
      </c>
      <c r="J174" s="14">
        <v>2025</v>
      </c>
      <c r="K174" s="63">
        <v>1</v>
      </c>
      <c r="L174" s="14" t="s">
        <v>42</v>
      </c>
      <c r="M174" s="15"/>
      <c r="N174" s="15"/>
      <c r="O174" s="63" t="s">
        <v>380</v>
      </c>
      <c r="P174" s="50"/>
      <c r="Q174" s="50" t="s">
        <v>458</v>
      </c>
      <c r="R174" s="14" t="s">
        <v>459</v>
      </c>
      <c r="S174" s="14" t="s">
        <v>385</v>
      </c>
      <c r="T174" s="22"/>
    </row>
    <row r="175" spans="1:21" x14ac:dyDescent="0.3">
      <c r="A175" s="48"/>
      <c r="B175" s="61"/>
      <c r="C175" s="49"/>
      <c r="D175" s="49"/>
      <c r="E175" s="49"/>
      <c r="F175" s="69"/>
      <c r="G175" s="62"/>
      <c r="H175" s="62"/>
      <c r="I175" s="62"/>
      <c r="J175" s="63"/>
      <c r="K175" s="63"/>
      <c r="L175" s="14"/>
      <c r="M175" s="15"/>
      <c r="N175" s="15"/>
      <c r="O175" s="63"/>
      <c r="P175" s="70"/>
      <c r="Q175" s="70"/>
      <c r="R175" s="14"/>
      <c r="S175" s="14"/>
      <c r="T175" s="22"/>
    </row>
    <row r="176" spans="1:21" x14ac:dyDescent="0.3">
      <c r="A176" s="73" t="s">
        <v>116</v>
      </c>
      <c r="B176" s="183" t="s">
        <v>203</v>
      </c>
      <c r="C176" s="184"/>
      <c r="D176" s="184"/>
      <c r="E176" s="184"/>
      <c r="F176" s="185"/>
      <c r="G176" s="57"/>
      <c r="H176" s="57"/>
      <c r="I176" s="57"/>
      <c r="J176" s="56"/>
      <c r="K176" s="56"/>
      <c r="L176" s="58"/>
      <c r="M176" s="58"/>
      <c r="N176" s="58"/>
      <c r="O176" s="56"/>
      <c r="P176" s="60"/>
      <c r="Q176" s="60"/>
      <c r="R176" s="58"/>
      <c r="S176" s="58"/>
      <c r="T176" s="76"/>
    </row>
    <row r="177" spans="1:20" x14ac:dyDescent="0.3">
      <c r="A177" s="48">
        <v>1</v>
      </c>
      <c r="B177" s="16" t="str">
        <f t="shared" ref="B177:B183" si="30">$A$3</f>
        <v>01</v>
      </c>
      <c r="C177" s="16" t="str">
        <f t="shared" ref="C177:C183" si="31">$A$4</f>
        <v>03</v>
      </c>
      <c r="D177" s="16" t="s">
        <v>116</v>
      </c>
      <c r="E177" s="16" t="s">
        <v>151</v>
      </c>
      <c r="F177" s="16">
        <f t="shared" ref="F177:F182" si="32">J177</f>
        <v>2015</v>
      </c>
      <c r="G177" s="13" t="s">
        <v>204</v>
      </c>
      <c r="H177" s="13"/>
      <c r="I177" s="13" t="s">
        <v>205</v>
      </c>
      <c r="J177" s="14">
        <v>2015</v>
      </c>
      <c r="K177" s="14">
        <v>1</v>
      </c>
      <c r="L177" s="14" t="s">
        <v>42</v>
      </c>
      <c r="M177" s="15" t="s">
        <v>19</v>
      </c>
      <c r="N177" s="15" t="s">
        <v>19</v>
      </c>
      <c r="O177" s="14" t="s">
        <v>192</v>
      </c>
      <c r="P177" s="13"/>
      <c r="Q177" s="98"/>
      <c r="R177" s="14" t="s">
        <v>7</v>
      </c>
      <c r="S177" s="14"/>
      <c r="T177" s="22"/>
    </row>
    <row r="178" spans="1:20" x14ac:dyDescent="0.3">
      <c r="A178" s="55">
        <v>2</v>
      </c>
      <c r="B178" s="32" t="str">
        <f t="shared" si="30"/>
        <v>01</v>
      </c>
      <c r="C178" s="32" t="str">
        <f t="shared" si="31"/>
        <v>03</v>
      </c>
      <c r="D178" s="32" t="s">
        <v>116</v>
      </c>
      <c r="E178" s="32" t="s">
        <v>152</v>
      </c>
      <c r="F178" s="32">
        <f t="shared" si="32"/>
        <v>2015</v>
      </c>
      <c r="G178" s="27" t="s">
        <v>204</v>
      </c>
      <c r="H178" s="27"/>
      <c r="I178" s="27" t="s">
        <v>205</v>
      </c>
      <c r="J178" s="29">
        <v>2015</v>
      </c>
      <c r="K178" s="29">
        <v>1</v>
      </c>
      <c r="L178" s="29" t="s">
        <v>42</v>
      </c>
      <c r="M178" s="30" t="s">
        <v>19</v>
      </c>
      <c r="N178" s="30" t="s">
        <v>19</v>
      </c>
      <c r="O178" s="29" t="s">
        <v>92</v>
      </c>
      <c r="P178" s="27"/>
      <c r="Q178" s="99"/>
      <c r="R178" s="29" t="s">
        <v>7</v>
      </c>
      <c r="S178" s="29"/>
      <c r="T178" s="22"/>
    </row>
    <row r="179" spans="1:20" x14ac:dyDescent="0.3">
      <c r="A179" s="48">
        <v>3</v>
      </c>
      <c r="B179" s="16" t="str">
        <f t="shared" si="30"/>
        <v>01</v>
      </c>
      <c r="C179" s="16" t="str">
        <f t="shared" si="31"/>
        <v>03</v>
      </c>
      <c r="D179" s="16" t="s">
        <v>116</v>
      </c>
      <c r="E179" s="16" t="s">
        <v>153</v>
      </c>
      <c r="F179" s="16">
        <f t="shared" si="32"/>
        <v>2015</v>
      </c>
      <c r="G179" s="13" t="s">
        <v>204</v>
      </c>
      <c r="H179" s="13"/>
      <c r="I179" s="13" t="s">
        <v>205</v>
      </c>
      <c r="J179" s="14">
        <v>2015</v>
      </c>
      <c r="K179" s="14">
        <v>1</v>
      </c>
      <c r="L179" s="14" t="s">
        <v>42</v>
      </c>
      <c r="M179" s="15" t="s">
        <v>19</v>
      </c>
      <c r="N179" s="15" t="s">
        <v>19</v>
      </c>
      <c r="O179" s="14" t="s">
        <v>254</v>
      </c>
      <c r="P179" s="13"/>
      <c r="Q179" s="98"/>
      <c r="R179" s="14" t="s">
        <v>7</v>
      </c>
      <c r="S179" s="14"/>
      <c r="T179" s="22"/>
    </row>
    <row r="180" spans="1:20" x14ac:dyDescent="0.3">
      <c r="A180" s="48">
        <v>4</v>
      </c>
      <c r="B180" s="32" t="str">
        <f t="shared" si="30"/>
        <v>01</v>
      </c>
      <c r="C180" s="32" t="str">
        <f t="shared" si="31"/>
        <v>03</v>
      </c>
      <c r="D180" s="32" t="s">
        <v>116</v>
      </c>
      <c r="E180" s="32" t="s">
        <v>154</v>
      </c>
      <c r="F180" s="32">
        <f t="shared" si="32"/>
        <v>2015</v>
      </c>
      <c r="G180" s="27" t="s">
        <v>204</v>
      </c>
      <c r="H180" s="27"/>
      <c r="I180" s="27" t="s">
        <v>205</v>
      </c>
      <c r="J180" s="29">
        <v>2015</v>
      </c>
      <c r="K180" s="29">
        <v>1</v>
      </c>
      <c r="L180" s="29" t="s">
        <v>42</v>
      </c>
      <c r="M180" s="30" t="s">
        <v>19</v>
      </c>
      <c r="N180" s="30" t="s">
        <v>19</v>
      </c>
      <c r="O180" s="29" t="s">
        <v>342</v>
      </c>
      <c r="P180" s="27"/>
      <c r="Q180" s="99"/>
      <c r="R180" s="29" t="s">
        <v>7</v>
      </c>
      <c r="S180" s="29"/>
      <c r="T180" s="22"/>
    </row>
    <row r="181" spans="1:20" x14ac:dyDescent="0.3">
      <c r="A181" s="118">
        <v>5</v>
      </c>
      <c r="B181" s="112" t="str">
        <f t="shared" si="30"/>
        <v>01</v>
      </c>
      <c r="C181" s="112" t="str">
        <f t="shared" si="31"/>
        <v>03</v>
      </c>
      <c r="D181" s="112" t="s">
        <v>116</v>
      </c>
      <c r="E181" s="112" t="s">
        <v>155</v>
      </c>
      <c r="F181" s="112">
        <f t="shared" si="32"/>
        <v>2015</v>
      </c>
      <c r="G181" s="113" t="s">
        <v>204</v>
      </c>
      <c r="H181" s="113"/>
      <c r="I181" s="113" t="s">
        <v>205</v>
      </c>
      <c r="J181" s="115">
        <v>2015</v>
      </c>
      <c r="K181" s="115">
        <v>1</v>
      </c>
      <c r="L181" s="115" t="s">
        <v>42</v>
      </c>
      <c r="M181" s="116" t="s">
        <v>19</v>
      </c>
      <c r="N181" s="116" t="s">
        <v>19</v>
      </c>
      <c r="O181" s="115" t="s">
        <v>352</v>
      </c>
      <c r="P181" s="113"/>
      <c r="Q181" s="119"/>
      <c r="R181" s="115" t="s">
        <v>7</v>
      </c>
      <c r="S181" s="115"/>
      <c r="T181" s="114"/>
    </row>
    <row r="182" spans="1:20" x14ac:dyDescent="0.3">
      <c r="A182" s="108">
        <v>6</v>
      </c>
      <c r="B182" s="101" t="str">
        <f t="shared" si="30"/>
        <v>01</v>
      </c>
      <c r="C182" s="101" t="str">
        <f t="shared" si="31"/>
        <v>03</v>
      </c>
      <c r="D182" s="101" t="s">
        <v>116</v>
      </c>
      <c r="E182" s="101" t="s">
        <v>202</v>
      </c>
      <c r="F182" s="101">
        <f t="shared" si="32"/>
        <v>2015</v>
      </c>
      <c r="G182" s="103" t="s">
        <v>204</v>
      </c>
      <c r="H182" s="103"/>
      <c r="I182" s="103" t="s">
        <v>205</v>
      </c>
      <c r="J182" s="102">
        <v>2015</v>
      </c>
      <c r="K182" s="102">
        <v>1</v>
      </c>
      <c r="L182" s="102" t="s">
        <v>42</v>
      </c>
      <c r="M182" s="104" t="s">
        <v>19</v>
      </c>
      <c r="N182" s="104" t="s">
        <v>19</v>
      </c>
      <c r="O182" s="102" t="s">
        <v>351</v>
      </c>
      <c r="P182" s="103"/>
      <c r="Q182" s="121"/>
      <c r="R182" s="102" t="s">
        <v>7</v>
      </c>
      <c r="S182" s="102"/>
      <c r="T182" s="100"/>
    </row>
    <row r="183" spans="1:20" x14ac:dyDescent="0.3">
      <c r="A183" s="131">
        <v>7</v>
      </c>
      <c r="B183" s="126" t="str">
        <f t="shared" si="30"/>
        <v>01</v>
      </c>
      <c r="C183" s="126" t="str">
        <f t="shared" si="31"/>
        <v>03</v>
      </c>
      <c r="D183" s="126" t="s">
        <v>116</v>
      </c>
      <c r="E183" s="126" t="s">
        <v>199</v>
      </c>
      <c r="F183" s="126">
        <f t="shared" ref="F183" si="33">J183</f>
        <v>2015</v>
      </c>
      <c r="G183" s="127" t="s">
        <v>204</v>
      </c>
      <c r="H183" s="127"/>
      <c r="I183" s="127" t="s">
        <v>205</v>
      </c>
      <c r="J183" s="128">
        <v>2015</v>
      </c>
      <c r="K183" s="128">
        <v>1</v>
      </c>
      <c r="L183" s="128" t="s">
        <v>42</v>
      </c>
      <c r="M183" s="129" t="s">
        <v>19</v>
      </c>
      <c r="N183" s="129" t="s">
        <v>19</v>
      </c>
      <c r="O183" s="128" t="s">
        <v>44</v>
      </c>
      <c r="P183" s="127"/>
      <c r="Q183" s="133"/>
      <c r="R183" s="128" t="s">
        <v>7</v>
      </c>
      <c r="S183" s="128"/>
      <c r="T183" s="132"/>
    </row>
    <row r="184" spans="1:20" x14ac:dyDescent="0.3">
      <c r="A184" s="48"/>
      <c r="B184" s="18"/>
      <c r="C184" s="19"/>
      <c r="D184" s="19"/>
      <c r="E184" s="19"/>
      <c r="F184" s="17"/>
      <c r="G184" s="62"/>
      <c r="H184" s="62"/>
      <c r="I184" s="62"/>
      <c r="J184" s="63"/>
      <c r="K184" s="63"/>
      <c r="L184" s="14"/>
      <c r="M184" s="15"/>
      <c r="N184" s="15"/>
      <c r="O184" s="63"/>
      <c r="P184" s="70"/>
      <c r="Q184" s="70"/>
      <c r="R184" s="14"/>
      <c r="S184" s="14"/>
      <c r="T184" s="22"/>
    </row>
    <row r="185" spans="1:20" x14ac:dyDescent="0.3">
      <c r="A185" s="73" t="s">
        <v>37</v>
      </c>
      <c r="B185" s="183" t="s">
        <v>8</v>
      </c>
      <c r="C185" s="184"/>
      <c r="D185" s="184"/>
      <c r="E185" s="184"/>
      <c r="F185" s="185"/>
      <c r="G185" s="52"/>
      <c r="H185" s="52"/>
      <c r="I185" s="53"/>
      <c r="J185" s="52"/>
      <c r="K185" s="52"/>
      <c r="L185" s="54"/>
      <c r="M185" s="54"/>
      <c r="N185" s="54"/>
      <c r="O185" s="52"/>
      <c r="P185" s="51"/>
      <c r="Q185" s="51"/>
      <c r="R185" s="54"/>
      <c r="S185" s="54"/>
      <c r="T185" s="76"/>
    </row>
    <row r="186" spans="1:20" x14ac:dyDescent="0.3">
      <c r="A186" s="11">
        <v>1</v>
      </c>
      <c r="B186" s="16" t="str">
        <f>$A$3</f>
        <v>01</v>
      </c>
      <c r="C186" s="16" t="str">
        <f>$A$4</f>
        <v>03</v>
      </c>
      <c r="D186" s="36" t="s">
        <v>37</v>
      </c>
      <c r="E186" s="16" t="s">
        <v>63</v>
      </c>
      <c r="F186" s="16">
        <f>J186</f>
        <v>2017</v>
      </c>
      <c r="G186" s="13" t="s">
        <v>41</v>
      </c>
      <c r="H186" s="22" t="s">
        <v>54</v>
      </c>
      <c r="I186" s="13" t="s">
        <v>45</v>
      </c>
      <c r="J186" s="14">
        <v>2017</v>
      </c>
      <c r="K186" s="14">
        <v>1</v>
      </c>
      <c r="L186" s="14" t="s">
        <v>42</v>
      </c>
      <c r="M186" s="15" t="s">
        <v>19</v>
      </c>
      <c r="N186" s="15" t="s">
        <v>19</v>
      </c>
      <c r="O186" s="14" t="s">
        <v>43</v>
      </c>
      <c r="P186" s="33" t="s">
        <v>142</v>
      </c>
      <c r="Q186" s="33" t="s">
        <v>121</v>
      </c>
      <c r="R186" s="14"/>
      <c r="S186" s="14"/>
      <c r="T186" s="22"/>
    </row>
    <row r="187" spans="1:20" x14ac:dyDescent="0.3">
      <c r="A187" s="11">
        <f>A186+1</f>
        <v>2</v>
      </c>
      <c r="B187" s="36" t="str">
        <f t="shared" ref="B187:B215" si="34">$A$3</f>
        <v>01</v>
      </c>
      <c r="C187" s="36" t="str">
        <f t="shared" ref="C187:C215" si="35">$A$4</f>
        <v>03</v>
      </c>
      <c r="D187" s="36" t="s">
        <v>37</v>
      </c>
      <c r="E187" s="17" t="s">
        <v>64</v>
      </c>
      <c r="F187" s="12">
        <f t="shared" ref="F187:F209" si="36">J187</f>
        <v>2017</v>
      </c>
      <c r="G187" s="13" t="s">
        <v>41</v>
      </c>
      <c r="H187" s="22" t="s">
        <v>55</v>
      </c>
      <c r="I187" s="13" t="s">
        <v>45</v>
      </c>
      <c r="J187" s="14">
        <v>2017</v>
      </c>
      <c r="K187" s="14">
        <v>1</v>
      </c>
      <c r="L187" s="14" t="s">
        <v>42</v>
      </c>
      <c r="M187" s="15" t="s">
        <v>19</v>
      </c>
      <c r="N187" s="15" t="s">
        <v>19</v>
      </c>
      <c r="O187" s="14" t="s">
        <v>43</v>
      </c>
      <c r="P187" s="33" t="s">
        <v>142</v>
      </c>
      <c r="Q187" s="33" t="s">
        <v>122</v>
      </c>
      <c r="R187" s="14"/>
      <c r="S187" s="14"/>
      <c r="T187" s="22"/>
    </row>
    <row r="188" spans="1:20" x14ac:dyDescent="0.3">
      <c r="A188" s="24">
        <v>3</v>
      </c>
      <c r="B188" s="32" t="str">
        <f t="shared" si="34"/>
        <v>01</v>
      </c>
      <c r="C188" s="32" t="str">
        <f t="shared" si="35"/>
        <v>03</v>
      </c>
      <c r="D188" s="32" t="s">
        <v>37</v>
      </c>
      <c r="E188" s="25" t="s">
        <v>65</v>
      </c>
      <c r="F188" s="26">
        <f t="shared" si="36"/>
        <v>2011</v>
      </c>
      <c r="G188" s="27" t="s">
        <v>56</v>
      </c>
      <c r="H188" s="28" t="s">
        <v>19</v>
      </c>
      <c r="I188" s="27" t="s">
        <v>45</v>
      </c>
      <c r="J188" s="29">
        <v>2011</v>
      </c>
      <c r="K188" s="29">
        <v>1</v>
      </c>
      <c r="L188" s="29" t="s">
        <v>19</v>
      </c>
      <c r="M188" s="29" t="s">
        <v>19</v>
      </c>
      <c r="N188" s="30" t="s">
        <v>42</v>
      </c>
      <c r="O188" s="29" t="s">
        <v>44</v>
      </c>
      <c r="P188" s="34" t="s">
        <v>142</v>
      </c>
      <c r="Q188" s="34" t="s">
        <v>121</v>
      </c>
      <c r="R188" s="29"/>
      <c r="S188" s="29"/>
      <c r="T188" s="22"/>
    </row>
    <row r="189" spans="1:20" x14ac:dyDescent="0.3">
      <c r="A189" s="24">
        <v>4</v>
      </c>
      <c r="B189" s="32" t="str">
        <f t="shared" si="34"/>
        <v>01</v>
      </c>
      <c r="C189" s="32" t="str">
        <f t="shared" si="35"/>
        <v>03</v>
      </c>
      <c r="D189" s="32" t="s">
        <v>37</v>
      </c>
      <c r="E189" s="25" t="s">
        <v>66</v>
      </c>
      <c r="F189" s="26">
        <f t="shared" si="36"/>
        <v>2011</v>
      </c>
      <c r="G189" s="27" t="s">
        <v>56</v>
      </c>
      <c r="H189" s="28" t="s">
        <v>57</v>
      </c>
      <c r="I189" s="27" t="s">
        <v>45</v>
      </c>
      <c r="J189" s="29">
        <v>2011</v>
      </c>
      <c r="K189" s="29">
        <v>1</v>
      </c>
      <c r="L189" s="29" t="s">
        <v>19</v>
      </c>
      <c r="M189" s="29" t="s">
        <v>19</v>
      </c>
      <c r="N189" s="30" t="s">
        <v>42</v>
      </c>
      <c r="O189" s="29" t="s">
        <v>44</v>
      </c>
      <c r="P189" s="34" t="s">
        <v>142</v>
      </c>
      <c r="Q189" s="34" t="s">
        <v>122</v>
      </c>
      <c r="R189" s="29"/>
      <c r="S189" s="29"/>
      <c r="T189" s="22"/>
    </row>
    <row r="190" spans="1:20" x14ac:dyDescent="0.3">
      <c r="A190" s="11">
        <v>5</v>
      </c>
      <c r="B190" s="36" t="str">
        <f t="shared" si="34"/>
        <v>01</v>
      </c>
      <c r="C190" s="36" t="str">
        <f t="shared" si="35"/>
        <v>03</v>
      </c>
      <c r="D190" s="36" t="s">
        <v>37</v>
      </c>
      <c r="E190" s="17" t="s">
        <v>67</v>
      </c>
      <c r="F190" s="12">
        <f t="shared" si="36"/>
        <v>2017</v>
      </c>
      <c r="G190" s="13" t="s">
        <v>41</v>
      </c>
      <c r="H190" s="22" t="s">
        <v>59</v>
      </c>
      <c r="I190" s="13" t="s">
        <v>45</v>
      </c>
      <c r="J190" s="14">
        <v>2017</v>
      </c>
      <c r="K190" s="14">
        <v>1</v>
      </c>
      <c r="L190" s="14" t="s">
        <v>42</v>
      </c>
      <c r="M190" s="15" t="s">
        <v>19</v>
      </c>
      <c r="N190" s="15" t="s">
        <v>19</v>
      </c>
      <c r="O190" s="14" t="s">
        <v>58</v>
      </c>
      <c r="P190" s="33"/>
      <c r="Q190" s="33" t="s">
        <v>121</v>
      </c>
      <c r="R190" s="14"/>
      <c r="S190" s="14"/>
      <c r="T190" s="22"/>
    </row>
    <row r="191" spans="1:20" x14ac:dyDescent="0.3">
      <c r="A191" s="11">
        <v>6</v>
      </c>
      <c r="B191" s="36" t="str">
        <f t="shared" si="34"/>
        <v>01</v>
      </c>
      <c r="C191" s="36" t="str">
        <f t="shared" si="35"/>
        <v>03</v>
      </c>
      <c r="D191" s="36" t="s">
        <v>37</v>
      </c>
      <c r="E191" s="17" t="s">
        <v>68</v>
      </c>
      <c r="F191" s="12">
        <f t="shared" si="36"/>
        <v>2017</v>
      </c>
      <c r="G191" s="13" t="s">
        <v>41</v>
      </c>
      <c r="H191" s="22" t="s">
        <v>60</v>
      </c>
      <c r="I191" s="13" t="s">
        <v>45</v>
      </c>
      <c r="J191" s="14">
        <v>2017</v>
      </c>
      <c r="K191" s="14">
        <v>1</v>
      </c>
      <c r="L191" s="14" t="s">
        <v>42</v>
      </c>
      <c r="M191" s="15" t="s">
        <v>19</v>
      </c>
      <c r="N191" s="15" t="s">
        <v>19</v>
      </c>
      <c r="O191" s="14" t="s">
        <v>58</v>
      </c>
      <c r="P191" s="33"/>
      <c r="Q191" s="33" t="s">
        <v>122</v>
      </c>
      <c r="R191" s="14"/>
      <c r="S191" s="14"/>
      <c r="T191" s="22"/>
    </row>
    <row r="192" spans="1:20" x14ac:dyDescent="0.3">
      <c r="A192" s="24">
        <v>7</v>
      </c>
      <c r="B192" s="32" t="str">
        <f t="shared" si="34"/>
        <v>01</v>
      </c>
      <c r="C192" s="32" t="str">
        <f t="shared" si="35"/>
        <v>03</v>
      </c>
      <c r="D192" s="32" t="s">
        <v>37</v>
      </c>
      <c r="E192" s="25" t="s">
        <v>69</v>
      </c>
      <c r="F192" s="26">
        <f t="shared" si="36"/>
        <v>2011</v>
      </c>
      <c r="G192" s="27" t="s">
        <v>41</v>
      </c>
      <c r="H192" s="28" t="s">
        <v>61</v>
      </c>
      <c r="I192" s="27" t="s">
        <v>45</v>
      </c>
      <c r="J192" s="29">
        <v>2011</v>
      </c>
      <c r="K192" s="29">
        <v>1</v>
      </c>
      <c r="L192" s="29" t="s">
        <v>42</v>
      </c>
      <c r="M192" s="30" t="s">
        <v>19</v>
      </c>
      <c r="N192" s="30" t="s">
        <v>19</v>
      </c>
      <c r="O192" s="29" t="s">
        <v>106</v>
      </c>
      <c r="P192" s="34"/>
      <c r="Q192" s="34" t="s">
        <v>121</v>
      </c>
      <c r="R192" s="29"/>
      <c r="S192" s="29"/>
      <c r="T192" s="22"/>
    </row>
    <row r="193" spans="1:21" x14ac:dyDescent="0.3">
      <c r="A193" s="24">
        <v>8</v>
      </c>
      <c r="B193" s="32" t="str">
        <f t="shared" si="34"/>
        <v>01</v>
      </c>
      <c r="C193" s="32" t="str">
        <f t="shared" si="35"/>
        <v>03</v>
      </c>
      <c r="D193" s="32" t="s">
        <v>37</v>
      </c>
      <c r="E193" s="25" t="s">
        <v>70</v>
      </c>
      <c r="F193" s="26">
        <f t="shared" si="36"/>
        <v>2011</v>
      </c>
      <c r="G193" s="27" t="s">
        <v>41</v>
      </c>
      <c r="H193" s="28" t="s">
        <v>62</v>
      </c>
      <c r="I193" s="27" t="s">
        <v>45</v>
      </c>
      <c r="J193" s="29">
        <v>2011</v>
      </c>
      <c r="K193" s="29">
        <v>1</v>
      </c>
      <c r="L193" s="29" t="s">
        <v>42</v>
      </c>
      <c r="M193" s="30" t="s">
        <v>19</v>
      </c>
      <c r="N193" s="30" t="s">
        <v>19</v>
      </c>
      <c r="O193" s="29" t="s">
        <v>106</v>
      </c>
      <c r="P193" s="34"/>
      <c r="Q193" s="34" t="s">
        <v>122</v>
      </c>
      <c r="R193" s="29"/>
      <c r="S193" s="29"/>
      <c r="T193" s="22"/>
    </row>
    <row r="194" spans="1:21" x14ac:dyDescent="0.3">
      <c r="A194" s="11">
        <v>9</v>
      </c>
      <c r="B194" s="36" t="str">
        <f t="shared" si="34"/>
        <v>01</v>
      </c>
      <c r="C194" s="36" t="str">
        <f t="shared" si="35"/>
        <v>03</v>
      </c>
      <c r="D194" s="36" t="s">
        <v>37</v>
      </c>
      <c r="E194" s="17" t="s">
        <v>71</v>
      </c>
      <c r="F194" s="12">
        <f t="shared" si="36"/>
        <v>2016</v>
      </c>
      <c r="G194" s="13" t="s">
        <v>41</v>
      </c>
      <c r="H194" s="22" t="s">
        <v>81</v>
      </c>
      <c r="I194" s="13" t="s">
        <v>45</v>
      </c>
      <c r="J194" s="14">
        <v>2016</v>
      </c>
      <c r="K194" s="14">
        <v>1</v>
      </c>
      <c r="L194" s="14" t="s">
        <v>42</v>
      </c>
      <c r="M194" s="15" t="s">
        <v>19</v>
      </c>
      <c r="N194" s="15" t="s">
        <v>19</v>
      </c>
      <c r="O194" s="14" t="s">
        <v>107</v>
      </c>
      <c r="P194" s="33"/>
      <c r="Q194" s="33" t="s">
        <v>121</v>
      </c>
      <c r="R194" s="14"/>
      <c r="S194" s="14"/>
      <c r="T194" s="22"/>
    </row>
    <row r="195" spans="1:21" x14ac:dyDescent="0.3">
      <c r="A195" s="11">
        <v>10</v>
      </c>
      <c r="B195" s="36" t="str">
        <f t="shared" si="34"/>
        <v>01</v>
      </c>
      <c r="C195" s="36" t="str">
        <f t="shared" si="35"/>
        <v>03</v>
      </c>
      <c r="D195" s="36" t="s">
        <v>37</v>
      </c>
      <c r="E195" s="17" t="s">
        <v>72</v>
      </c>
      <c r="F195" s="12">
        <f t="shared" si="36"/>
        <v>2016</v>
      </c>
      <c r="G195" s="13" t="s">
        <v>41</v>
      </c>
      <c r="H195" s="22" t="s">
        <v>82</v>
      </c>
      <c r="I195" s="13" t="s">
        <v>45</v>
      </c>
      <c r="J195" s="14">
        <v>2016</v>
      </c>
      <c r="K195" s="14">
        <v>1</v>
      </c>
      <c r="L195" s="14" t="s">
        <v>42</v>
      </c>
      <c r="M195" s="15" t="s">
        <v>19</v>
      </c>
      <c r="N195" s="15" t="s">
        <v>19</v>
      </c>
      <c r="O195" s="14" t="s">
        <v>107</v>
      </c>
      <c r="P195" s="33"/>
      <c r="Q195" s="33" t="s">
        <v>122</v>
      </c>
      <c r="R195" s="14"/>
      <c r="S195" s="14"/>
      <c r="T195" s="22"/>
    </row>
    <row r="196" spans="1:21" x14ac:dyDescent="0.3">
      <c r="A196" s="24">
        <v>11</v>
      </c>
      <c r="B196" s="32" t="str">
        <f t="shared" si="34"/>
        <v>01</v>
      </c>
      <c r="C196" s="32" t="str">
        <f t="shared" si="35"/>
        <v>03</v>
      </c>
      <c r="D196" s="32" t="s">
        <v>37</v>
      </c>
      <c r="E196" s="25" t="s">
        <v>73</v>
      </c>
      <c r="F196" s="26">
        <f t="shared" si="36"/>
        <v>2012</v>
      </c>
      <c r="G196" s="27" t="s">
        <v>41</v>
      </c>
      <c r="H196" s="28" t="s">
        <v>83</v>
      </c>
      <c r="I196" s="27" t="s">
        <v>45</v>
      </c>
      <c r="J196" s="29">
        <v>2012</v>
      </c>
      <c r="K196" s="29">
        <v>1</v>
      </c>
      <c r="L196" s="29" t="s">
        <v>42</v>
      </c>
      <c r="M196" s="30" t="s">
        <v>19</v>
      </c>
      <c r="N196" s="30" t="s">
        <v>19</v>
      </c>
      <c r="O196" s="29" t="s">
        <v>85</v>
      </c>
      <c r="P196" s="34"/>
      <c r="Q196" s="34" t="s">
        <v>121</v>
      </c>
      <c r="R196" s="29"/>
      <c r="S196" s="29"/>
      <c r="T196" s="22"/>
    </row>
    <row r="197" spans="1:21" x14ac:dyDescent="0.3">
      <c r="A197" s="24">
        <v>12</v>
      </c>
      <c r="B197" s="32" t="str">
        <f t="shared" si="34"/>
        <v>01</v>
      </c>
      <c r="C197" s="32" t="str">
        <f t="shared" si="35"/>
        <v>03</v>
      </c>
      <c r="D197" s="32" t="s">
        <v>37</v>
      </c>
      <c r="E197" s="25" t="s">
        <v>74</v>
      </c>
      <c r="F197" s="26">
        <f t="shared" si="36"/>
        <v>2012</v>
      </c>
      <c r="G197" s="27" t="s">
        <v>41</v>
      </c>
      <c r="H197" s="28" t="s">
        <v>84</v>
      </c>
      <c r="I197" s="27" t="s">
        <v>45</v>
      </c>
      <c r="J197" s="29">
        <v>2012</v>
      </c>
      <c r="K197" s="29">
        <v>1</v>
      </c>
      <c r="L197" s="29" t="s">
        <v>42</v>
      </c>
      <c r="M197" s="30" t="s">
        <v>19</v>
      </c>
      <c r="N197" s="30" t="s">
        <v>19</v>
      </c>
      <c r="O197" s="29" t="s">
        <v>85</v>
      </c>
      <c r="P197" s="34"/>
      <c r="Q197" s="34" t="s">
        <v>122</v>
      </c>
      <c r="R197" s="29"/>
      <c r="S197" s="29"/>
      <c r="T197" s="22"/>
    </row>
    <row r="198" spans="1:21" x14ac:dyDescent="0.3">
      <c r="A198" s="11">
        <v>13</v>
      </c>
      <c r="B198" s="36" t="str">
        <f t="shared" si="34"/>
        <v>01</v>
      </c>
      <c r="C198" s="36" t="str">
        <f t="shared" si="35"/>
        <v>03</v>
      </c>
      <c r="D198" s="36" t="s">
        <v>37</v>
      </c>
      <c r="E198" s="17" t="s">
        <v>75</v>
      </c>
      <c r="F198" s="12">
        <f t="shared" si="36"/>
        <v>2016</v>
      </c>
      <c r="G198" s="13" t="s">
        <v>41</v>
      </c>
      <c r="H198" s="22" t="s">
        <v>86</v>
      </c>
      <c r="I198" s="13" t="s">
        <v>45</v>
      </c>
      <c r="J198" s="14">
        <v>2016</v>
      </c>
      <c r="K198" s="14">
        <v>1</v>
      </c>
      <c r="L198" s="14" t="s">
        <v>42</v>
      </c>
      <c r="M198" s="15" t="s">
        <v>19</v>
      </c>
      <c r="N198" s="15" t="s">
        <v>19</v>
      </c>
      <c r="O198" s="14" t="s">
        <v>108</v>
      </c>
      <c r="P198" s="33"/>
      <c r="Q198" s="33" t="s">
        <v>121</v>
      </c>
      <c r="R198" s="14"/>
      <c r="S198" s="14"/>
      <c r="T198" s="22"/>
    </row>
    <row r="199" spans="1:21" x14ac:dyDescent="0.3">
      <c r="A199" s="11">
        <v>14</v>
      </c>
      <c r="B199" s="36" t="str">
        <f t="shared" si="34"/>
        <v>01</v>
      </c>
      <c r="C199" s="36" t="str">
        <f t="shared" si="35"/>
        <v>03</v>
      </c>
      <c r="D199" s="36" t="s">
        <v>37</v>
      </c>
      <c r="E199" s="17" t="s">
        <v>76</v>
      </c>
      <c r="F199" s="12">
        <f t="shared" si="36"/>
        <v>2016</v>
      </c>
      <c r="G199" s="13" t="s">
        <v>41</v>
      </c>
      <c r="H199" s="22" t="s">
        <v>87</v>
      </c>
      <c r="I199" s="13" t="s">
        <v>45</v>
      </c>
      <c r="J199" s="14">
        <v>2016</v>
      </c>
      <c r="K199" s="14">
        <v>1</v>
      </c>
      <c r="L199" s="14" t="s">
        <v>42</v>
      </c>
      <c r="M199" s="15" t="s">
        <v>19</v>
      </c>
      <c r="N199" s="15" t="s">
        <v>19</v>
      </c>
      <c r="O199" s="14" t="s">
        <v>108</v>
      </c>
      <c r="P199" s="33"/>
      <c r="Q199" s="33" t="s">
        <v>122</v>
      </c>
      <c r="R199" s="14"/>
      <c r="S199" s="14"/>
      <c r="T199" s="22"/>
    </row>
    <row r="200" spans="1:21" x14ac:dyDescent="0.3">
      <c r="A200" s="24">
        <v>15</v>
      </c>
      <c r="B200" s="32" t="str">
        <f t="shared" si="34"/>
        <v>01</v>
      </c>
      <c r="C200" s="32" t="str">
        <f t="shared" si="35"/>
        <v>03</v>
      </c>
      <c r="D200" s="32" t="s">
        <v>37</v>
      </c>
      <c r="E200" s="25" t="s">
        <v>77</v>
      </c>
      <c r="F200" s="26">
        <f t="shared" si="36"/>
        <v>2016</v>
      </c>
      <c r="G200" s="27" t="s">
        <v>41</v>
      </c>
      <c r="H200" s="28" t="s">
        <v>88</v>
      </c>
      <c r="I200" s="27" t="s">
        <v>45</v>
      </c>
      <c r="J200" s="29">
        <v>2016</v>
      </c>
      <c r="K200" s="29">
        <v>1</v>
      </c>
      <c r="L200" s="29" t="s">
        <v>42</v>
      </c>
      <c r="M200" s="30" t="s">
        <v>19</v>
      </c>
      <c r="N200" s="30" t="s">
        <v>19</v>
      </c>
      <c r="O200" s="29" t="s">
        <v>109</v>
      </c>
      <c r="P200" s="34"/>
      <c r="Q200" s="34" t="s">
        <v>121</v>
      </c>
      <c r="R200" s="29"/>
      <c r="S200" s="29"/>
      <c r="T200" s="22"/>
    </row>
    <row r="201" spans="1:21" x14ac:dyDescent="0.3">
      <c r="A201" s="24">
        <v>16</v>
      </c>
      <c r="B201" s="32" t="str">
        <f t="shared" si="34"/>
        <v>01</v>
      </c>
      <c r="C201" s="32" t="str">
        <f t="shared" si="35"/>
        <v>03</v>
      </c>
      <c r="D201" s="32" t="s">
        <v>37</v>
      </c>
      <c r="E201" s="25" t="s">
        <v>78</v>
      </c>
      <c r="F201" s="26">
        <f t="shared" si="36"/>
        <v>2016</v>
      </c>
      <c r="G201" s="27" t="s">
        <v>41</v>
      </c>
      <c r="H201" s="28" t="s">
        <v>89</v>
      </c>
      <c r="I201" s="27" t="s">
        <v>45</v>
      </c>
      <c r="J201" s="29">
        <v>2016</v>
      </c>
      <c r="K201" s="29">
        <v>1</v>
      </c>
      <c r="L201" s="29" t="s">
        <v>42</v>
      </c>
      <c r="M201" s="30" t="s">
        <v>19</v>
      </c>
      <c r="N201" s="30" t="s">
        <v>19</v>
      </c>
      <c r="O201" s="29" t="s">
        <v>109</v>
      </c>
      <c r="P201" s="34"/>
      <c r="Q201" s="34" t="s">
        <v>122</v>
      </c>
      <c r="R201" s="29"/>
      <c r="S201" s="29"/>
      <c r="T201" s="22"/>
    </row>
    <row r="202" spans="1:21" x14ac:dyDescent="0.3">
      <c r="A202" s="11">
        <v>17</v>
      </c>
      <c r="B202" s="36" t="str">
        <f t="shared" si="34"/>
        <v>01</v>
      </c>
      <c r="C202" s="36" t="str">
        <f t="shared" si="35"/>
        <v>03</v>
      </c>
      <c r="D202" s="36" t="s">
        <v>37</v>
      </c>
      <c r="E202" s="17" t="s">
        <v>79</v>
      </c>
      <c r="F202" s="12">
        <f t="shared" si="36"/>
        <v>2018</v>
      </c>
      <c r="G202" s="13" t="s">
        <v>41</v>
      </c>
      <c r="H202" s="22" t="s">
        <v>90</v>
      </c>
      <c r="I202" s="13" t="s">
        <v>45</v>
      </c>
      <c r="J202" s="14">
        <v>2018</v>
      </c>
      <c r="K202" s="14">
        <v>1</v>
      </c>
      <c r="L202" s="14" t="s">
        <v>42</v>
      </c>
      <c r="M202" s="15" t="s">
        <v>19</v>
      </c>
      <c r="N202" s="15" t="s">
        <v>19</v>
      </c>
      <c r="O202" s="14" t="s">
        <v>92</v>
      </c>
      <c r="P202" s="33"/>
      <c r="Q202" s="33" t="s">
        <v>121</v>
      </c>
      <c r="R202" s="14"/>
      <c r="S202" s="14"/>
      <c r="T202" s="22"/>
    </row>
    <row r="203" spans="1:21" x14ac:dyDescent="0.3">
      <c r="A203" s="11">
        <v>18</v>
      </c>
      <c r="B203" s="36" t="str">
        <f t="shared" si="34"/>
        <v>01</v>
      </c>
      <c r="C203" s="36" t="str">
        <f t="shared" si="35"/>
        <v>03</v>
      </c>
      <c r="D203" s="36" t="s">
        <v>37</v>
      </c>
      <c r="E203" s="17" t="s">
        <v>80</v>
      </c>
      <c r="F203" s="12">
        <f t="shared" si="36"/>
        <v>2018</v>
      </c>
      <c r="G203" s="13" t="s">
        <v>41</v>
      </c>
      <c r="H203" s="22" t="s">
        <v>91</v>
      </c>
      <c r="I203" s="13" t="s">
        <v>45</v>
      </c>
      <c r="J203" s="14">
        <v>2018</v>
      </c>
      <c r="K203" s="14">
        <v>1</v>
      </c>
      <c r="L203" s="14" t="s">
        <v>42</v>
      </c>
      <c r="M203" s="15" t="s">
        <v>19</v>
      </c>
      <c r="N203" s="15" t="s">
        <v>19</v>
      </c>
      <c r="O203" s="14" t="s">
        <v>92</v>
      </c>
      <c r="P203" s="33"/>
      <c r="Q203" s="33" t="s">
        <v>122</v>
      </c>
      <c r="R203" s="14"/>
      <c r="S203" s="14"/>
      <c r="T203" s="22"/>
    </row>
    <row r="204" spans="1:21" x14ac:dyDescent="0.3">
      <c r="A204" s="24">
        <v>19</v>
      </c>
      <c r="B204" s="32" t="str">
        <f t="shared" si="34"/>
        <v>01</v>
      </c>
      <c r="C204" s="32" t="str">
        <f t="shared" si="35"/>
        <v>03</v>
      </c>
      <c r="D204" s="32" t="s">
        <v>37</v>
      </c>
      <c r="E204" s="25" t="s">
        <v>93</v>
      </c>
      <c r="F204" s="26">
        <f>J204</f>
        <v>2018</v>
      </c>
      <c r="G204" s="27" t="s">
        <v>41</v>
      </c>
      <c r="H204" s="28" t="s">
        <v>99</v>
      </c>
      <c r="I204" s="27" t="s">
        <v>45</v>
      </c>
      <c r="J204" s="29">
        <v>2018</v>
      </c>
      <c r="K204" s="29">
        <v>1</v>
      </c>
      <c r="L204" s="29" t="s">
        <v>42</v>
      </c>
      <c r="M204" s="30" t="s">
        <v>19</v>
      </c>
      <c r="N204" s="30" t="s">
        <v>19</v>
      </c>
      <c r="O204" s="29" t="s">
        <v>110</v>
      </c>
      <c r="P204" s="34"/>
      <c r="Q204" s="34" t="s">
        <v>121</v>
      </c>
      <c r="R204" s="29"/>
      <c r="S204" s="29"/>
      <c r="T204" s="22"/>
    </row>
    <row r="205" spans="1:21" x14ac:dyDescent="0.3">
      <c r="A205" s="24">
        <v>20</v>
      </c>
      <c r="B205" s="32" t="str">
        <f t="shared" si="34"/>
        <v>01</v>
      </c>
      <c r="C205" s="32" t="str">
        <f t="shared" si="35"/>
        <v>03</v>
      </c>
      <c r="D205" s="32" t="s">
        <v>37</v>
      </c>
      <c r="E205" s="25" t="s">
        <v>94</v>
      </c>
      <c r="F205" s="26">
        <f>J205</f>
        <v>2018</v>
      </c>
      <c r="G205" s="27" t="s">
        <v>41</v>
      </c>
      <c r="H205" s="28" t="s">
        <v>100</v>
      </c>
      <c r="I205" s="27" t="s">
        <v>45</v>
      </c>
      <c r="J205" s="29">
        <v>2018</v>
      </c>
      <c r="K205" s="29">
        <v>1</v>
      </c>
      <c r="L205" s="29" t="s">
        <v>42</v>
      </c>
      <c r="M205" s="30" t="s">
        <v>19</v>
      </c>
      <c r="N205" s="30" t="s">
        <v>19</v>
      </c>
      <c r="O205" s="29" t="s">
        <v>110</v>
      </c>
      <c r="P205" s="34"/>
      <c r="Q205" s="34" t="s">
        <v>122</v>
      </c>
      <c r="R205" s="29"/>
      <c r="S205" s="29"/>
      <c r="T205" s="22"/>
    </row>
    <row r="206" spans="1:21" x14ac:dyDescent="0.3">
      <c r="A206" s="11">
        <v>21</v>
      </c>
      <c r="B206" s="36" t="str">
        <f t="shared" si="34"/>
        <v>01</v>
      </c>
      <c r="C206" s="36" t="str">
        <f t="shared" si="35"/>
        <v>03</v>
      </c>
      <c r="D206" s="36" t="s">
        <v>37</v>
      </c>
      <c r="E206" s="17" t="s">
        <v>95</v>
      </c>
      <c r="F206" s="12">
        <f>J206</f>
        <v>2018</v>
      </c>
      <c r="G206" s="13" t="s">
        <v>41</v>
      </c>
      <c r="H206" s="22" t="s">
        <v>101</v>
      </c>
      <c r="I206" s="13" t="s">
        <v>45</v>
      </c>
      <c r="J206" s="14">
        <v>2018</v>
      </c>
      <c r="K206" s="14">
        <v>1</v>
      </c>
      <c r="L206" s="14" t="s">
        <v>42</v>
      </c>
      <c r="M206" s="15" t="s">
        <v>19</v>
      </c>
      <c r="N206" s="15" t="s">
        <v>19</v>
      </c>
      <c r="O206" s="23" t="s">
        <v>110</v>
      </c>
      <c r="P206" s="35"/>
      <c r="Q206" s="33" t="s">
        <v>121</v>
      </c>
      <c r="R206" s="14"/>
      <c r="S206" s="14"/>
      <c r="T206" s="22"/>
    </row>
    <row r="207" spans="1:21" x14ac:dyDescent="0.3">
      <c r="A207" s="11">
        <v>22</v>
      </c>
      <c r="B207" s="36" t="str">
        <f t="shared" si="34"/>
        <v>01</v>
      </c>
      <c r="C207" s="36" t="str">
        <f t="shared" si="35"/>
        <v>03</v>
      </c>
      <c r="D207" s="36" t="s">
        <v>37</v>
      </c>
      <c r="E207" s="17" t="s">
        <v>96</v>
      </c>
      <c r="F207" s="12">
        <f>J207</f>
        <v>2018</v>
      </c>
      <c r="G207" s="13" t="s">
        <v>41</v>
      </c>
      <c r="H207" s="22" t="s">
        <v>102</v>
      </c>
      <c r="I207" s="13" t="s">
        <v>45</v>
      </c>
      <c r="J207" s="14">
        <v>2018</v>
      </c>
      <c r="K207" s="14">
        <v>1</v>
      </c>
      <c r="L207" s="14" t="s">
        <v>42</v>
      </c>
      <c r="M207" s="15" t="s">
        <v>19</v>
      </c>
      <c r="N207" s="15" t="s">
        <v>19</v>
      </c>
      <c r="O207" s="23" t="s">
        <v>110</v>
      </c>
      <c r="P207" s="35"/>
      <c r="Q207" s="33" t="s">
        <v>122</v>
      </c>
      <c r="R207" s="14"/>
      <c r="S207" s="14"/>
      <c r="T207" s="22"/>
    </row>
    <row r="208" spans="1:21" s="5" customFormat="1" x14ac:dyDescent="0.3">
      <c r="A208" s="24">
        <v>23</v>
      </c>
      <c r="B208" s="32" t="str">
        <f t="shared" si="34"/>
        <v>01</v>
      </c>
      <c r="C208" s="32" t="str">
        <f t="shared" si="35"/>
        <v>03</v>
      </c>
      <c r="D208" s="32" t="s">
        <v>37</v>
      </c>
      <c r="E208" s="25" t="s">
        <v>97</v>
      </c>
      <c r="F208" s="26">
        <f t="shared" si="36"/>
        <v>2017</v>
      </c>
      <c r="G208" s="27" t="s">
        <v>41</v>
      </c>
      <c r="H208" s="28" t="s">
        <v>104</v>
      </c>
      <c r="I208" s="27" t="s">
        <v>45</v>
      </c>
      <c r="J208" s="29">
        <v>2017</v>
      </c>
      <c r="K208" s="29">
        <v>1</v>
      </c>
      <c r="L208" s="29" t="s">
        <v>42</v>
      </c>
      <c r="M208" s="30" t="s">
        <v>19</v>
      </c>
      <c r="N208" s="30" t="s">
        <v>19</v>
      </c>
      <c r="O208" s="29" t="s">
        <v>110</v>
      </c>
      <c r="P208" s="34" t="s">
        <v>142</v>
      </c>
      <c r="Q208" s="34" t="s">
        <v>121</v>
      </c>
      <c r="R208" s="29"/>
      <c r="S208" s="29"/>
      <c r="T208" s="28" t="s">
        <v>326</v>
      </c>
      <c r="U208"/>
    </row>
    <row r="209" spans="1:21" x14ac:dyDescent="0.3">
      <c r="A209" s="24">
        <v>24</v>
      </c>
      <c r="B209" s="32" t="str">
        <f t="shared" si="34"/>
        <v>01</v>
      </c>
      <c r="C209" s="32" t="str">
        <f t="shared" si="35"/>
        <v>03</v>
      </c>
      <c r="D209" s="32" t="s">
        <v>37</v>
      </c>
      <c r="E209" s="25" t="s">
        <v>98</v>
      </c>
      <c r="F209" s="26">
        <f t="shared" si="36"/>
        <v>2017</v>
      </c>
      <c r="G209" s="27" t="s">
        <v>41</v>
      </c>
      <c r="H209" s="28" t="s">
        <v>105</v>
      </c>
      <c r="I209" s="27" t="s">
        <v>45</v>
      </c>
      <c r="J209" s="29">
        <v>2017</v>
      </c>
      <c r="K209" s="29">
        <v>1</v>
      </c>
      <c r="L209" s="29" t="s">
        <v>42</v>
      </c>
      <c r="M209" s="30" t="s">
        <v>19</v>
      </c>
      <c r="N209" s="30" t="s">
        <v>19</v>
      </c>
      <c r="O209" s="29" t="s">
        <v>110</v>
      </c>
      <c r="P209" s="34" t="s">
        <v>142</v>
      </c>
      <c r="Q209" s="34" t="s">
        <v>122</v>
      </c>
      <c r="R209" s="29"/>
      <c r="S209" s="29"/>
      <c r="T209" s="28" t="s">
        <v>326</v>
      </c>
    </row>
    <row r="210" spans="1:21" x14ac:dyDescent="0.3">
      <c r="A210" s="42">
        <v>25</v>
      </c>
      <c r="B210" s="36" t="str">
        <f t="shared" si="34"/>
        <v>01</v>
      </c>
      <c r="C210" s="36" t="str">
        <f t="shared" si="35"/>
        <v>03</v>
      </c>
      <c r="D210" s="36" t="s">
        <v>37</v>
      </c>
      <c r="E210" s="17" t="s">
        <v>143</v>
      </c>
      <c r="F210" s="12">
        <v>2020</v>
      </c>
      <c r="G210" s="13" t="s">
        <v>41</v>
      </c>
      <c r="H210" s="22" t="s">
        <v>146</v>
      </c>
      <c r="I210" s="13" t="s">
        <v>45</v>
      </c>
      <c r="J210" s="14">
        <v>2020</v>
      </c>
      <c r="K210" s="14">
        <v>1</v>
      </c>
      <c r="L210" s="14" t="s">
        <v>42</v>
      </c>
      <c r="M210" s="15" t="s">
        <v>19</v>
      </c>
      <c r="N210" s="15" t="s">
        <v>19</v>
      </c>
      <c r="O210" s="23" t="s">
        <v>44</v>
      </c>
      <c r="P210" s="35"/>
      <c r="Q210" s="33" t="s">
        <v>121</v>
      </c>
      <c r="R210" s="14"/>
      <c r="S210" s="14"/>
      <c r="T210" s="22"/>
      <c r="U210" s="5"/>
    </row>
    <row r="211" spans="1:21" x14ac:dyDescent="0.3">
      <c r="A211" s="42">
        <v>26</v>
      </c>
      <c r="B211" s="36" t="str">
        <f t="shared" si="34"/>
        <v>01</v>
      </c>
      <c r="C211" s="36" t="str">
        <f t="shared" si="35"/>
        <v>03</v>
      </c>
      <c r="D211" s="36" t="s">
        <v>37</v>
      </c>
      <c r="E211" s="17" t="s">
        <v>144</v>
      </c>
      <c r="F211" s="12">
        <v>2020</v>
      </c>
      <c r="G211" s="13" t="s">
        <v>41</v>
      </c>
      <c r="H211" s="22" t="s">
        <v>145</v>
      </c>
      <c r="I211" s="13" t="s">
        <v>45</v>
      </c>
      <c r="J211" s="14">
        <v>2020</v>
      </c>
      <c r="K211" s="14">
        <v>1</v>
      </c>
      <c r="L211" s="14" t="s">
        <v>42</v>
      </c>
      <c r="M211" s="15" t="s">
        <v>19</v>
      </c>
      <c r="N211" s="15" t="s">
        <v>19</v>
      </c>
      <c r="O211" s="23" t="s">
        <v>44</v>
      </c>
      <c r="P211" s="35"/>
      <c r="Q211" s="33" t="s">
        <v>122</v>
      </c>
      <c r="R211" s="14"/>
      <c r="S211" s="14"/>
      <c r="T211" s="22"/>
    </row>
    <row r="212" spans="1:21" x14ac:dyDescent="0.3">
      <c r="A212" s="24">
        <v>27</v>
      </c>
      <c r="B212" s="32" t="str">
        <f t="shared" si="34"/>
        <v>01</v>
      </c>
      <c r="C212" s="32" t="str">
        <f t="shared" si="35"/>
        <v>03</v>
      </c>
      <c r="D212" s="32" t="s">
        <v>37</v>
      </c>
      <c r="E212" s="32" t="s">
        <v>166</v>
      </c>
      <c r="F212" s="32">
        <v>2020</v>
      </c>
      <c r="G212" s="27" t="s">
        <v>41</v>
      </c>
      <c r="H212" s="28" t="s">
        <v>168</v>
      </c>
      <c r="I212" s="27" t="s">
        <v>45</v>
      </c>
      <c r="J212" s="29">
        <v>2020</v>
      </c>
      <c r="K212" s="29">
        <v>1</v>
      </c>
      <c r="L212" s="29" t="s">
        <v>42</v>
      </c>
      <c r="M212" s="30" t="s">
        <v>19</v>
      </c>
      <c r="N212" s="30" t="s">
        <v>19</v>
      </c>
      <c r="O212" s="29" t="s">
        <v>43</v>
      </c>
      <c r="P212" s="34"/>
      <c r="Q212" s="34" t="s">
        <v>121</v>
      </c>
      <c r="R212" s="29"/>
      <c r="S212" s="29"/>
      <c r="T212" s="22"/>
    </row>
    <row r="213" spans="1:21" ht="15" customHeight="1" x14ac:dyDescent="0.3">
      <c r="A213" s="24">
        <v>28</v>
      </c>
      <c r="B213" s="32" t="str">
        <f t="shared" si="34"/>
        <v>01</v>
      </c>
      <c r="C213" s="32" t="str">
        <f t="shared" si="35"/>
        <v>03</v>
      </c>
      <c r="D213" s="32" t="s">
        <v>37</v>
      </c>
      <c r="E213" s="25" t="s">
        <v>167</v>
      </c>
      <c r="F213" s="26">
        <v>2020</v>
      </c>
      <c r="G213" s="27" t="s">
        <v>41</v>
      </c>
      <c r="H213" s="28" t="s">
        <v>169</v>
      </c>
      <c r="I213" s="27" t="s">
        <v>45</v>
      </c>
      <c r="J213" s="29">
        <v>2020</v>
      </c>
      <c r="K213" s="29">
        <v>1</v>
      </c>
      <c r="L213" s="29" t="s">
        <v>42</v>
      </c>
      <c r="M213" s="30" t="s">
        <v>19</v>
      </c>
      <c r="N213" s="30" t="s">
        <v>19</v>
      </c>
      <c r="O213" s="29" t="s">
        <v>43</v>
      </c>
      <c r="P213" s="34"/>
      <c r="Q213" s="34" t="s">
        <v>122</v>
      </c>
      <c r="R213" s="29"/>
      <c r="S213" s="29"/>
      <c r="T213" s="22"/>
    </row>
    <row r="214" spans="1:21" x14ac:dyDescent="0.3">
      <c r="A214" s="24">
        <v>29</v>
      </c>
      <c r="B214" s="36" t="str">
        <f t="shared" si="34"/>
        <v>01</v>
      </c>
      <c r="C214" s="36" t="str">
        <f t="shared" si="35"/>
        <v>03</v>
      </c>
      <c r="D214" s="36" t="s">
        <v>37</v>
      </c>
      <c r="E214" s="66" t="s">
        <v>170</v>
      </c>
      <c r="F214" s="71">
        <f t="shared" ref="F214:F215" si="37">J214</f>
        <v>2020</v>
      </c>
      <c r="G214" s="67" t="s">
        <v>41</v>
      </c>
      <c r="H214" s="72" t="s">
        <v>172</v>
      </c>
      <c r="I214" s="67" t="s">
        <v>45</v>
      </c>
      <c r="J214" s="23">
        <v>2020</v>
      </c>
      <c r="K214" s="23">
        <v>1</v>
      </c>
      <c r="L214" s="23" t="s">
        <v>42</v>
      </c>
      <c r="M214" s="68" t="s">
        <v>19</v>
      </c>
      <c r="N214" s="68" t="s">
        <v>19</v>
      </c>
      <c r="O214" s="23" t="s">
        <v>110</v>
      </c>
      <c r="P214" s="35"/>
      <c r="Q214" s="35" t="s">
        <v>121</v>
      </c>
      <c r="R214" s="23"/>
      <c r="S214" s="23"/>
      <c r="T214" s="72"/>
    </row>
    <row r="215" spans="1:21" x14ac:dyDescent="0.3">
      <c r="A215" s="24">
        <v>30</v>
      </c>
      <c r="B215" s="36" t="str">
        <f t="shared" si="34"/>
        <v>01</v>
      </c>
      <c r="C215" s="36" t="str">
        <f t="shared" si="35"/>
        <v>03</v>
      </c>
      <c r="D215" s="36" t="s">
        <v>37</v>
      </c>
      <c r="E215" s="66" t="s">
        <v>171</v>
      </c>
      <c r="F215" s="71">
        <f t="shared" si="37"/>
        <v>2020</v>
      </c>
      <c r="G215" s="67" t="s">
        <v>41</v>
      </c>
      <c r="H215" s="72" t="s">
        <v>173</v>
      </c>
      <c r="I215" s="67" t="s">
        <v>45</v>
      </c>
      <c r="J215" s="23">
        <v>2020</v>
      </c>
      <c r="K215" s="23">
        <v>1</v>
      </c>
      <c r="L215" s="23" t="s">
        <v>42</v>
      </c>
      <c r="M215" s="68" t="s">
        <v>19</v>
      </c>
      <c r="N215" s="68" t="s">
        <v>19</v>
      </c>
      <c r="O215" s="23" t="s">
        <v>110</v>
      </c>
      <c r="P215" s="35"/>
      <c r="Q215" s="35" t="s">
        <v>122</v>
      </c>
      <c r="R215" s="23"/>
      <c r="S215" s="23"/>
      <c r="T215" s="22"/>
    </row>
    <row r="216" spans="1:21" x14ac:dyDescent="0.3">
      <c r="A216" s="73" t="s">
        <v>117</v>
      </c>
      <c r="B216" s="183" t="s">
        <v>9</v>
      </c>
      <c r="C216" s="184"/>
      <c r="D216" s="184"/>
      <c r="E216" s="184"/>
      <c r="F216" s="185"/>
      <c r="G216" s="43"/>
      <c r="H216" s="44"/>
      <c r="I216" s="43"/>
      <c r="J216" s="45"/>
      <c r="K216" s="45"/>
      <c r="L216" s="45"/>
      <c r="M216" s="46"/>
      <c r="N216" s="46"/>
      <c r="O216" s="45"/>
      <c r="P216" s="47"/>
      <c r="Q216" s="47"/>
      <c r="R216" s="58"/>
      <c r="S216" s="58"/>
      <c r="T216" s="76"/>
    </row>
    <row r="217" spans="1:21" x14ac:dyDescent="0.3">
      <c r="A217" s="22">
        <v>1</v>
      </c>
      <c r="B217" s="16" t="str">
        <f>$A$3</f>
        <v>01</v>
      </c>
      <c r="C217" s="16" t="str">
        <f>$A$4</f>
        <v>03</v>
      </c>
      <c r="D217" s="36" t="s">
        <v>117</v>
      </c>
      <c r="E217" s="16" t="s">
        <v>151</v>
      </c>
      <c r="F217" s="16">
        <f>J217</f>
        <v>2019</v>
      </c>
      <c r="G217" s="95" t="s">
        <v>162</v>
      </c>
      <c r="H217" s="13"/>
      <c r="I217" s="13" t="s">
        <v>45</v>
      </c>
      <c r="J217" s="14">
        <v>2019</v>
      </c>
      <c r="K217" s="14">
        <v>1</v>
      </c>
      <c r="L217" s="14" t="s">
        <v>42</v>
      </c>
      <c r="M217" s="15" t="s">
        <v>19</v>
      </c>
      <c r="N217" s="15" t="s">
        <v>19</v>
      </c>
      <c r="O217" s="14" t="s">
        <v>157</v>
      </c>
      <c r="P217" s="33"/>
      <c r="Q217" s="33" t="s">
        <v>161</v>
      </c>
      <c r="R217" s="14"/>
      <c r="S217" s="14"/>
      <c r="T217" s="22"/>
    </row>
    <row r="218" spans="1:21" x14ac:dyDescent="0.3">
      <c r="A218" s="90"/>
      <c r="B218" s="39"/>
      <c r="C218" s="39"/>
      <c r="D218" s="38"/>
      <c r="E218" s="39"/>
      <c r="F218" s="91"/>
      <c r="G218" s="93"/>
      <c r="H218" s="94"/>
      <c r="I218" s="94"/>
      <c r="J218" s="40"/>
      <c r="K218" s="40"/>
      <c r="L218" s="40"/>
      <c r="M218" s="41"/>
      <c r="N218" s="41"/>
      <c r="O218" s="40"/>
      <c r="P218" s="92"/>
      <c r="Q218" s="92"/>
      <c r="R218" s="14"/>
      <c r="S218" s="14"/>
      <c r="T218" s="22"/>
    </row>
    <row r="219" spans="1:21" x14ac:dyDescent="0.3">
      <c r="A219" s="73" t="s">
        <v>118</v>
      </c>
      <c r="B219" s="183" t="s">
        <v>335</v>
      </c>
      <c r="C219" s="184"/>
      <c r="D219" s="184"/>
      <c r="E219" s="184"/>
      <c r="F219" s="184"/>
      <c r="G219" s="185"/>
      <c r="H219" s="44"/>
      <c r="I219" s="43"/>
      <c r="J219" s="45"/>
      <c r="K219" s="45"/>
      <c r="L219" s="45"/>
      <c r="M219" s="46"/>
      <c r="N219" s="46"/>
      <c r="O219" s="45"/>
      <c r="P219" s="47"/>
      <c r="Q219" s="47"/>
      <c r="R219" s="58"/>
      <c r="S219" s="58"/>
      <c r="T219" s="76"/>
    </row>
    <row r="220" spans="1:21" x14ac:dyDescent="0.3">
      <c r="A220" s="22">
        <v>1</v>
      </c>
      <c r="B220" s="16" t="str">
        <f t="shared" ref="B220:B225" si="38">$A$3</f>
        <v>01</v>
      </c>
      <c r="C220" s="16" t="str">
        <f t="shared" ref="C220:C225" si="39">$A$4</f>
        <v>03</v>
      </c>
      <c r="D220" s="36" t="s">
        <v>118</v>
      </c>
      <c r="E220" s="16" t="s">
        <v>151</v>
      </c>
      <c r="F220" s="16">
        <v>2015</v>
      </c>
      <c r="G220" s="95" t="s">
        <v>307</v>
      </c>
      <c r="H220" s="13" t="s">
        <v>308</v>
      </c>
      <c r="I220" s="13" t="s">
        <v>45</v>
      </c>
      <c r="J220" s="14">
        <v>2015</v>
      </c>
      <c r="K220" s="14">
        <v>1</v>
      </c>
      <c r="L220" s="14" t="s">
        <v>42</v>
      </c>
      <c r="M220" s="15" t="s">
        <v>19</v>
      </c>
      <c r="N220" s="15" t="s">
        <v>19</v>
      </c>
      <c r="O220" s="14" t="s">
        <v>157</v>
      </c>
      <c r="P220" s="33"/>
      <c r="Q220" s="33" t="s">
        <v>306</v>
      </c>
      <c r="R220" s="14"/>
      <c r="S220" s="14"/>
      <c r="T220" s="22"/>
    </row>
    <row r="221" spans="1:21" x14ac:dyDescent="0.3">
      <c r="A221" s="90">
        <v>2</v>
      </c>
      <c r="B221" s="16" t="str">
        <f t="shared" si="38"/>
        <v>01</v>
      </c>
      <c r="C221" s="16" t="str">
        <f t="shared" si="39"/>
        <v>03</v>
      </c>
      <c r="D221" s="36" t="s">
        <v>118</v>
      </c>
      <c r="E221" s="16" t="s">
        <v>152</v>
      </c>
      <c r="F221" s="16">
        <v>2022</v>
      </c>
      <c r="G221" s="95" t="s">
        <v>336</v>
      </c>
      <c r="H221" s="13" t="s">
        <v>308</v>
      </c>
      <c r="I221" s="13" t="s">
        <v>45</v>
      </c>
      <c r="J221" s="14">
        <v>2022</v>
      </c>
      <c r="K221" s="14">
        <v>1</v>
      </c>
      <c r="L221" s="14" t="s">
        <v>42</v>
      </c>
      <c r="M221" s="15" t="s">
        <v>19</v>
      </c>
      <c r="N221" s="15" t="s">
        <v>19</v>
      </c>
      <c r="O221" s="14" t="s">
        <v>342</v>
      </c>
      <c r="P221" s="33"/>
      <c r="Q221" s="33" t="s">
        <v>337</v>
      </c>
      <c r="R221" s="14"/>
      <c r="S221" s="14"/>
      <c r="T221" s="22" t="s">
        <v>338</v>
      </c>
    </row>
    <row r="222" spans="1:21" x14ac:dyDescent="0.3">
      <c r="A222" s="90">
        <v>3</v>
      </c>
      <c r="B222" s="16" t="str">
        <f t="shared" si="38"/>
        <v>01</v>
      </c>
      <c r="C222" s="16" t="str">
        <f t="shared" si="39"/>
        <v>03</v>
      </c>
      <c r="D222" s="36" t="s">
        <v>118</v>
      </c>
      <c r="E222" s="16" t="s">
        <v>153</v>
      </c>
      <c r="F222" s="16">
        <v>2021</v>
      </c>
      <c r="G222" s="95" t="s">
        <v>339</v>
      </c>
      <c r="H222" s="13"/>
      <c r="I222" s="13" t="s">
        <v>45</v>
      </c>
      <c r="J222" s="14">
        <v>2021</v>
      </c>
      <c r="K222" s="14">
        <v>1</v>
      </c>
      <c r="L222" s="14" t="s">
        <v>42</v>
      </c>
      <c r="M222" s="15" t="s">
        <v>19</v>
      </c>
      <c r="N222" s="15" t="s">
        <v>19</v>
      </c>
      <c r="O222" s="14" t="s">
        <v>342</v>
      </c>
      <c r="P222" s="33"/>
      <c r="Q222" s="33" t="s">
        <v>306</v>
      </c>
      <c r="R222" s="14"/>
      <c r="S222" s="14"/>
      <c r="T222" s="22"/>
    </row>
    <row r="223" spans="1:21" x14ac:dyDescent="0.3">
      <c r="A223" s="110">
        <v>4</v>
      </c>
      <c r="B223" s="101" t="str">
        <f t="shared" si="38"/>
        <v>01</v>
      </c>
      <c r="C223" s="101" t="str">
        <f t="shared" si="39"/>
        <v>03</v>
      </c>
      <c r="D223" s="101" t="s">
        <v>118</v>
      </c>
      <c r="E223" s="101" t="s">
        <v>154</v>
      </c>
      <c r="F223" s="101">
        <v>2022</v>
      </c>
      <c r="G223" s="109" t="s">
        <v>336</v>
      </c>
      <c r="H223" s="103" t="s">
        <v>308</v>
      </c>
      <c r="I223" s="103" t="s">
        <v>45</v>
      </c>
      <c r="J223" s="102">
        <v>2022</v>
      </c>
      <c r="K223" s="102">
        <v>1</v>
      </c>
      <c r="L223" s="102" t="s">
        <v>42</v>
      </c>
      <c r="M223" s="104" t="s">
        <v>19</v>
      </c>
      <c r="N223" s="104" t="s">
        <v>19</v>
      </c>
      <c r="O223" s="102" t="s">
        <v>351</v>
      </c>
      <c r="P223" s="105"/>
      <c r="Q223" s="105" t="s">
        <v>337</v>
      </c>
      <c r="R223" s="102"/>
      <c r="S223" s="102"/>
      <c r="T223" s="100" t="s">
        <v>338</v>
      </c>
    </row>
    <row r="224" spans="1:21" x14ac:dyDescent="0.3">
      <c r="A224" s="122">
        <v>5</v>
      </c>
      <c r="B224" s="112" t="str">
        <f t="shared" si="38"/>
        <v>01</v>
      </c>
      <c r="C224" s="112" t="str">
        <f t="shared" si="39"/>
        <v>03</v>
      </c>
      <c r="D224" s="112" t="s">
        <v>118</v>
      </c>
      <c r="E224" s="112" t="s">
        <v>155</v>
      </c>
      <c r="F224" s="112">
        <v>2022</v>
      </c>
      <c r="G224" s="123" t="s">
        <v>336</v>
      </c>
      <c r="H224" s="113" t="s">
        <v>308</v>
      </c>
      <c r="I224" s="113" t="s">
        <v>45</v>
      </c>
      <c r="J224" s="115">
        <v>2022</v>
      </c>
      <c r="K224" s="115">
        <v>1</v>
      </c>
      <c r="L224" s="115" t="s">
        <v>42</v>
      </c>
      <c r="M224" s="116" t="s">
        <v>19</v>
      </c>
      <c r="N224" s="116" t="s">
        <v>19</v>
      </c>
      <c r="O224" s="115" t="s">
        <v>352</v>
      </c>
      <c r="P224" s="117"/>
      <c r="Q224" s="117" t="s">
        <v>337</v>
      </c>
      <c r="R224" s="115"/>
      <c r="S224" s="115"/>
      <c r="T224" s="114" t="s">
        <v>338</v>
      </c>
    </row>
    <row r="225" spans="1:20" x14ac:dyDescent="0.3">
      <c r="A225" s="134">
        <v>6</v>
      </c>
      <c r="B225" s="126" t="str">
        <f t="shared" si="38"/>
        <v>01</v>
      </c>
      <c r="C225" s="126" t="str">
        <f t="shared" si="39"/>
        <v>03</v>
      </c>
      <c r="D225" s="126" t="s">
        <v>118</v>
      </c>
      <c r="E225" s="126" t="s">
        <v>202</v>
      </c>
      <c r="F225" s="126">
        <v>2022</v>
      </c>
      <c r="G225" s="135" t="s">
        <v>336</v>
      </c>
      <c r="H225" s="127" t="s">
        <v>358</v>
      </c>
      <c r="I225" s="127" t="s">
        <v>45</v>
      </c>
      <c r="J225" s="128">
        <v>2022</v>
      </c>
      <c r="K225" s="128">
        <v>1</v>
      </c>
      <c r="L225" s="128" t="s">
        <v>42</v>
      </c>
      <c r="M225" s="129" t="s">
        <v>19</v>
      </c>
      <c r="N225" s="129" t="s">
        <v>19</v>
      </c>
      <c r="O225" s="128" t="s">
        <v>44</v>
      </c>
      <c r="P225" s="130"/>
      <c r="Q225" s="130" t="s">
        <v>358</v>
      </c>
      <c r="R225" s="128"/>
      <c r="S225" s="128"/>
      <c r="T225" s="132" t="s">
        <v>338</v>
      </c>
    </row>
    <row r="226" spans="1:20" x14ac:dyDescent="0.3">
      <c r="A226" s="136"/>
      <c r="B226" s="137"/>
      <c r="C226" s="65"/>
      <c r="D226" s="65"/>
      <c r="E226" s="65"/>
      <c r="F226" s="66"/>
      <c r="G226" s="138"/>
      <c r="H226" s="139"/>
      <c r="I226" s="139"/>
      <c r="J226" s="140"/>
      <c r="K226" s="140"/>
      <c r="L226" s="140"/>
      <c r="M226" s="141"/>
      <c r="N226" s="141"/>
      <c r="O226" s="140"/>
      <c r="P226" s="142"/>
      <c r="Q226" s="142"/>
      <c r="R226" s="23"/>
      <c r="S226" s="23"/>
      <c r="T226" s="72"/>
    </row>
    <row r="227" spans="1:20" x14ac:dyDescent="0.3">
      <c r="A227" s="73" t="s">
        <v>119</v>
      </c>
      <c r="B227" s="183" t="s">
        <v>184</v>
      </c>
      <c r="C227" s="184"/>
      <c r="D227" s="184"/>
      <c r="E227" s="184"/>
      <c r="F227" s="185"/>
      <c r="G227" s="43"/>
      <c r="H227" s="44"/>
      <c r="I227" s="43"/>
      <c r="J227" s="45"/>
      <c r="K227" s="45"/>
      <c r="L227" s="45"/>
      <c r="M227" s="46"/>
      <c r="N227" s="46"/>
      <c r="O227" s="45"/>
      <c r="P227" s="47"/>
      <c r="Q227" s="47"/>
      <c r="R227" s="58"/>
      <c r="S227" s="58"/>
      <c r="T227" s="76"/>
    </row>
    <row r="228" spans="1:20" x14ac:dyDescent="0.3">
      <c r="A228" s="114">
        <v>1</v>
      </c>
      <c r="B228" s="112" t="str">
        <f t="shared" ref="B228:B236" si="40">$A$3</f>
        <v>01</v>
      </c>
      <c r="C228" s="112" t="str">
        <f t="shared" ref="C228:C236" si="41">$A$4</f>
        <v>03</v>
      </c>
      <c r="D228" s="112" t="s">
        <v>119</v>
      </c>
      <c r="E228" s="112" t="s">
        <v>151</v>
      </c>
      <c r="F228" s="112">
        <f>J228</f>
        <v>2019</v>
      </c>
      <c r="G228" s="123" t="s">
        <v>194</v>
      </c>
      <c r="H228" s="113"/>
      <c r="I228" s="113" t="s">
        <v>45</v>
      </c>
      <c r="J228" s="115">
        <v>2019</v>
      </c>
      <c r="K228" s="115">
        <v>1</v>
      </c>
      <c r="L228" s="115" t="s">
        <v>42</v>
      </c>
      <c r="M228" s="116" t="s">
        <v>19</v>
      </c>
      <c r="N228" s="116" t="s">
        <v>19</v>
      </c>
      <c r="O228" s="115" t="s">
        <v>352</v>
      </c>
      <c r="P228" s="117"/>
      <c r="Q228" s="117" t="s">
        <v>184</v>
      </c>
      <c r="R228" s="115" t="s">
        <v>356</v>
      </c>
      <c r="S228" s="115"/>
      <c r="T228" s="114"/>
    </row>
    <row r="229" spans="1:20" x14ac:dyDescent="0.3">
      <c r="A229" s="55">
        <v>2</v>
      </c>
      <c r="B229" s="32" t="str">
        <f t="shared" si="40"/>
        <v>01</v>
      </c>
      <c r="C229" s="32" t="str">
        <f t="shared" si="41"/>
        <v>03</v>
      </c>
      <c r="D229" s="32" t="s">
        <v>119</v>
      </c>
      <c r="E229" s="32" t="s">
        <v>152</v>
      </c>
      <c r="F229" s="32">
        <v>2016</v>
      </c>
      <c r="G229" s="64" t="s">
        <v>234</v>
      </c>
      <c r="H229" s="27" t="s">
        <v>330</v>
      </c>
      <c r="I229" s="27" t="s">
        <v>45</v>
      </c>
      <c r="J229" s="29">
        <v>2016</v>
      </c>
      <c r="K229" s="29">
        <v>1</v>
      </c>
      <c r="L229" s="29" t="s">
        <v>42</v>
      </c>
      <c r="M229" s="30" t="s">
        <v>19</v>
      </c>
      <c r="N229" s="30" t="s">
        <v>19</v>
      </c>
      <c r="O229" s="29" t="s">
        <v>215</v>
      </c>
      <c r="P229" s="34"/>
      <c r="Q229" s="34" t="s">
        <v>184</v>
      </c>
      <c r="R229" s="29" t="s">
        <v>250</v>
      </c>
      <c r="S229" s="29"/>
      <c r="T229" s="22"/>
    </row>
    <row r="230" spans="1:20" x14ac:dyDescent="0.3">
      <c r="A230" s="22">
        <v>3</v>
      </c>
      <c r="B230" s="16" t="str">
        <f t="shared" si="40"/>
        <v>01</v>
      </c>
      <c r="C230" s="16" t="str">
        <f t="shared" si="41"/>
        <v>03</v>
      </c>
      <c r="D230" s="36" t="s">
        <v>119</v>
      </c>
      <c r="E230" s="16" t="s">
        <v>153</v>
      </c>
      <c r="F230" s="16">
        <v>2020</v>
      </c>
      <c r="G230" s="95" t="s">
        <v>245</v>
      </c>
      <c r="H230" s="13" t="s">
        <v>246</v>
      </c>
      <c r="I230" s="13" t="s">
        <v>45</v>
      </c>
      <c r="J230" s="14">
        <v>2020</v>
      </c>
      <c r="K230" s="14">
        <v>1</v>
      </c>
      <c r="L230" s="14" t="s">
        <v>42</v>
      </c>
      <c r="M230" s="15" t="s">
        <v>19</v>
      </c>
      <c r="N230" s="15" t="s">
        <v>19</v>
      </c>
      <c r="O230" s="14" t="s">
        <v>192</v>
      </c>
      <c r="P230" s="33"/>
      <c r="Q230" s="33" t="s">
        <v>184</v>
      </c>
      <c r="R230" s="14" t="s">
        <v>249</v>
      </c>
      <c r="S230" s="14"/>
      <c r="T230" s="22"/>
    </row>
    <row r="231" spans="1:20" x14ac:dyDescent="0.3">
      <c r="A231" s="55">
        <v>4</v>
      </c>
      <c r="B231" s="32" t="str">
        <f t="shared" si="40"/>
        <v>01</v>
      </c>
      <c r="C231" s="32" t="str">
        <f t="shared" si="41"/>
        <v>03</v>
      </c>
      <c r="D231" s="32" t="s">
        <v>119</v>
      </c>
      <c r="E231" s="32" t="s">
        <v>154</v>
      </c>
      <c r="F231" s="32">
        <v>2020</v>
      </c>
      <c r="G231" s="64" t="s">
        <v>245</v>
      </c>
      <c r="H231" s="27" t="s">
        <v>251</v>
      </c>
      <c r="I231" s="27" t="s">
        <v>45</v>
      </c>
      <c r="J231" s="29">
        <v>2020</v>
      </c>
      <c r="K231" s="29">
        <v>1</v>
      </c>
      <c r="L231" s="29" t="s">
        <v>42</v>
      </c>
      <c r="M231" s="30" t="s">
        <v>19</v>
      </c>
      <c r="N231" s="30" t="s">
        <v>19</v>
      </c>
      <c r="O231" s="29" t="s">
        <v>247</v>
      </c>
      <c r="P231" s="34"/>
      <c r="Q231" s="34" t="s">
        <v>184</v>
      </c>
      <c r="R231" s="29" t="s">
        <v>248</v>
      </c>
      <c r="S231" s="29"/>
      <c r="T231" s="22" t="s">
        <v>347</v>
      </c>
    </row>
    <row r="232" spans="1:20" x14ac:dyDescent="0.3">
      <c r="A232" s="22">
        <v>5</v>
      </c>
      <c r="B232" s="16" t="str">
        <f t="shared" si="40"/>
        <v>01</v>
      </c>
      <c r="C232" s="16" t="str">
        <f t="shared" si="41"/>
        <v>03</v>
      </c>
      <c r="D232" s="36" t="s">
        <v>119</v>
      </c>
      <c r="E232" s="16" t="s">
        <v>155</v>
      </c>
      <c r="F232" s="16">
        <v>2016</v>
      </c>
      <c r="G232" s="95" t="s">
        <v>261</v>
      </c>
      <c r="H232" s="13"/>
      <c r="I232" s="13" t="s">
        <v>45</v>
      </c>
      <c r="J232" s="14">
        <v>2016</v>
      </c>
      <c r="K232" s="14">
        <v>1</v>
      </c>
      <c r="L232" s="14" t="s">
        <v>42</v>
      </c>
      <c r="M232" s="15" t="s">
        <v>19</v>
      </c>
      <c r="N232" s="15" t="s">
        <v>19</v>
      </c>
      <c r="O232" s="14" t="s">
        <v>331</v>
      </c>
      <c r="P232" s="33"/>
      <c r="Q232" s="33" t="s">
        <v>184</v>
      </c>
      <c r="R232" s="14" t="s">
        <v>332</v>
      </c>
      <c r="S232" s="14"/>
      <c r="T232" s="22"/>
    </row>
    <row r="233" spans="1:20" x14ac:dyDescent="0.3">
      <c r="A233" s="48">
        <v>6</v>
      </c>
      <c r="B233" s="16" t="str">
        <f t="shared" si="40"/>
        <v>01</v>
      </c>
      <c r="C233" s="16" t="str">
        <f t="shared" si="41"/>
        <v>03</v>
      </c>
      <c r="D233" s="36" t="s">
        <v>119</v>
      </c>
      <c r="E233" s="16" t="s">
        <v>202</v>
      </c>
      <c r="F233" s="16">
        <v>2022</v>
      </c>
      <c r="G233" s="95" t="s">
        <v>327</v>
      </c>
      <c r="H233" s="13" t="s">
        <v>328</v>
      </c>
      <c r="I233" s="13" t="s">
        <v>45</v>
      </c>
      <c r="J233" s="14">
        <v>2022</v>
      </c>
      <c r="K233" s="14">
        <v>1</v>
      </c>
      <c r="L233" s="14" t="s">
        <v>42</v>
      </c>
      <c r="M233" s="15" t="s">
        <v>19</v>
      </c>
      <c r="N233" s="15" t="s">
        <v>19</v>
      </c>
      <c r="O233" s="14" t="s">
        <v>215</v>
      </c>
      <c r="P233" s="33"/>
      <c r="Q233" s="33" t="s">
        <v>184</v>
      </c>
      <c r="R233" s="14" t="s">
        <v>250</v>
      </c>
      <c r="S233" s="14"/>
      <c r="T233" s="22"/>
    </row>
    <row r="234" spans="1:20" x14ac:dyDescent="0.3">
      <c r="A234" s="48">
        <v>7</v>
      </c>
      <c r="B234" s="16" t="str">
        <f t="shared" si="40"/>
        <v>01</v>
      </c>
      <c r="C234" s="16" t="str">
        <f t="shared" si="41"/>
        <v>03</v>
      </c>
      <c r="D234" s="36" t="s">
        <v>119</v>
      </c>
      <c r="E234" s="16" t="s">
        <v>199</v>
      </c>
      <c r="F234" s="17">
        <v>2016</v>
      </c>
      <c r="G234" s="93" t="s">
        <v>234</v>
      </c>
      <c r="H234" s="94" t="s">
        <v>330</v>
      </c>
      <c r="I234" s="94" t="s">
        <v>45</v>
      </c>
      <c r="J234" s="40">
        <v>2016</v>
      </c>
      <c r="K234" s="40">
        <v>1</v>
      </c>
      <c r="L234" s="40" t="s">
        <v>103</v>
      </c>
      <c r="M234" s="41"/>
      <c r="N234" s="41"/>
      <c r="O234" s="40" t="s">
        <v>192</v>
      </c>
      <c r="P234" s="92"/>
      <c r="Q234" s="92" t="s">
        <v>184</v>
      </c>
      <c r="R234" s="14" t="s">
        <v>249</v>
      </c>
      <c r="S234" s="14"/>
      <c r="T234" s="22" t="s">
        <v>334</v>
      </c>
    </row>
    <row r="235" spans="1:20" x14ac:dyDescent="0.3">
      <c r="A235" s="108">
        <v>8</v>
      </c>
      <c r="B235" s="101" t="str">
        <f t="shared" si="40"/>
        <v>01</v>
      </c>
      <c r="C235" s="101" t="str">
        <f t="shared" si="41"/>
        <v>03</v>
      </c>
      <c r="D235" s="101" t="s">
        <v>119</v>
      </c>
      <c r="E235" s="101" t="s">
        <v>200</v>
      </c>
      <c r="F235" s="101">
        <f>J235</f>
        <v>2019</v>
      </c>
      <c r="G235" s="109" t="s">
        <v>194</v>
      </c>
      <c r="H235" s="103"/>
      <c r="I235" s="103" t="s">
        <v>45</v>
      </c>
      <c r="J235" s="102">
        <v>2019</v>
      </c>
      <c r="K235" s="102">
        <v>1</v>
      </c>
      <c r="L235" s="102" t="s">
        <v>42</v>
      </c>
      <c r="M235" s="104" t="s">
        <v>19</v>
      </c>
      <c r="N235" s="104" t="s">
        <v>19</v>
      </c>
      <c r="O235" s="102" t="s">
        <v>351</v>
      </c>
      <c r="P235" s="105"/>
      <c r="Q235" s="105" t="s">
        <v>184</v>
      </c>
      <c r="R235" s="102" t="s">
        <v>333</v>
      </c>
      <c r="S235" s="102"/>
      <c r="T235" s="100"/>
    </row>
    <row r="236" spans="1:20" x14ac:dyDescent="0.3">
      <c r="A236" s="84">
        <v>9</v>
      </c>
      <c r="B236" s="36" t="str">
        <f t="shared" si="40"/>
        <v>01</v>
      </c>
      <c r="C236" s="36" t="str">
        <f t="shared" si="41"/>
        <v>03</v>
      </c>
      <c r="D236" s="36" t="s">
        <v>119</v>
      </c>
      <c r="E236" s="36" t="s">
        <v>201</v>
      </c>
      <c r="F236" s="36">
        <f>J236</f>
        <v>2019</v>
      </c>
      <c r="G236" s="124" t="s">
        <v>194</v>
      </c>
      <c r="H236" s="67"/>
      <c r="I236" s="67" t="s">
        <v>45</v>
      </c>
      <c r="J236" s="23">
        <v>2019</v>
      </c>
      <c r="K236" s="23">
        <v>1</v>
      </c>
      <c r="L236" s="23" t="s">
        <v>42</v>
      </c>
      <c r="M236" s="68" t="s">
        <v>19</v>
      </c>
      <c r="N236" s="68" t="s">
        <v>19</v>
      </c>
      <c r="O236" s="23" t="s">
        <v>342</v>
      </c>
      <c r="P236" s="35"/>
      <c r="Q236" s="35" t="s">
        <v>184</v>
      </c>
      <c r="R236" s="23" t="s">
        <v>348</v>
      </c>
      <c r="S236" s="23"/>
      <c r="T236" s="72"/>
    </row>
    <row r="237" spans="1:20" ht="15" customHeight="1" x14ac:dyDescent="0.3">
      <c r="A237" s="73" t="s">
        <v>183</v>
      </c>
      <c r="B237" s="183" t="s">
        <v>156</v>
      </c>
      <c r="C237" s="184"/>
      <c r="D237" s="184"/>
      <c r="E237" s="184"/>
      <c r="F237" s="185"/>
      <c r="G237" s="43"/>
      <c r="H237" s="44"/>
      <c r="I237" s="43"/>
      <c r="J237" s="45"/>
      <c r="K237" s="45"/>
      <c r="L237" s="45"/>
      <c r="M237" s="46"/>
      <c r="N237" s="46"/>
      <c r="O237" s="45"/>
      <c r="P237" s="47"/>
      <c r="Q237" s="47"/>
      <c r="R237" s="58"/>
      <c r="S237" s="58"/>
      <c r="T237" s="76"/>
    </row>
    <row r="238" spans="1:20" ht="15" customHeight="1" x14ac:dyDescent="0.3">
      <c r="A238" s="11">
        <v>1</v>
      </c>
      <c r="B238" s="16" t="str">
        <f>$A$3</f>
        <v>01</v>
      </c>
      <c r="C238" s="16" t="str">
        <f>$A$4</f>
        <v>03</v>
      </c>
      <c r="D238" s="36" t="s">
        <v>183</v>
      </c>
      <c r="E238" s="16" t="s">
        <v>151</v>
      </c>
      <c r="F238" s="16">
        <f>J238</f>
        <v>2019</v>
      </c>
      <c r="G238" s="13" t="s">
        <v>160</v>
      </c>
      <c r="H238" s="22"/>
      <c r="I238" s="13" t="s">
        <v>45</v>
      </c>
      <c r="J238" s="14">
        <v>2019</v>
      </c>
      <c r="K238" s="14">
        <v>1</v>
      </c>
      <c r="L238" s="14" t="s">
        <v>42</v>
      </c>
      <c r="M238" s="15" t="s">
        <v>19</v>
      </c>
      <c r="N238" s="15" t="s">
        <v>19</v>
      </c>
      <c r="O238" s="14" t="s">
        <v>157</v>
      </c>
      <c r="P238" s="33"/>
      <c r="Q238" s="33" t="s">
        <v>156</v>
      </c>
      <c r="R238" s="14" t="s">
        <v>159</v>
      </c>
      <c r="S238" s="14"/>
      <c r="T238" s="22"/>
    </row>
    <row r="239" spans="1:20" x14ac:dyDescent="0.3">
      <c r="A239" s="22"/>
      <c r="B239" s="16"/>
      <c r="C239" s="16"/>
      <c r="D239" s="16"/>
      <c r="E239" s="16"/>
      <c r="F239" s="16"/>
      <c r="G239" s="14"/>
      <c r="H239" s="13"/>
      <c r="I239" s="13"/>
      <c r="J239" s="14"/>
      <c r="K239" s="14"/>
      <c r="L239" s="14"/>
      <c r="M239" s="15"/>
      <c r="N239" s="15"/>
      <c r="O239" s="14"/>
      <c r="P239" s="33"/>
      <c r="Q239" s="33"/>
      <c r="R239" s="14"/>
      <c r="S239" s="14"/>
      <c r="T239" s="22"/>
    </row>
    <row r="240" spans="1:20" x14ac:dyDescent="0.3">
      <c r="A240" s="73" t="s">
        <v>232</v>
      </c>
      <c r="B240" s="183" t="s">
        <v>233</v>
      </c>
      <c r="C240" s="184"/>
      <c r="D240" s="184"/>
      <c r="E240" s="184"/>
      <c r="F240" s="185"/>
      <c r="G240" s="43"/>
      <c r="H240" s="44"/>
      <c r="I240" s="43"/>
      <c r="J240" s="45"/>
      <c r="K240" s="45"/>
      <c r="L240" s="45"/>
      <c r="M240" s="46"/>
      <c r="N240" s="46"/>
      <c r="O240" s="45"/>
      <c r="P240" s="47"/>
      <c r="Q240" s="47"/>
      <c r="R240" s="58"/>
      <c r="S240" s="58"/>
      <c r="T240" s="76"/>
    </row>
    <row r="241" spans="1:20" x14ac:dyDescent="0.3">
      <c r="A241" s="11">
        <v>1</v>
      </c>
      <c r="B241" s="16" t="str">
        <f>$A$3</f>
        <v>01</v>
      </c>
      <c r="C241" s="16" t="str">
        <f>$A$4</f>
        <v>03</v>
      </c>
      <c r="D241" s="36" t="s">
        <v>232</v>
      </c>
      <c r="E241" s="16" t="s">
        <v>151</v>
      </c>
      <c r="F241" s="16">
        <v>2017</v>
      </c>
      <c r="G241" s="13"/>
      <c r="H241" s="22"/>
      <c r="I241" s="13" t="s">
        <v>45</v>
      </c>
      <c r="J241" s="14">
        <v>2017</v>
      </c>
      <c r="K241" s="14">
        <v>1</v>
      </c>
      <c r="L241" s="14" t="s">
        <v>42</v>
      </c>
      <c r="M241" s="15" t="s">
        <v>19</v>
      </c>
      <c r="N241" s="15" t="s">
        <v>19</v>
      </c>
      <c r="O241" s="14" t="s">
        <v>92</v>
      </c>
      <c r="P241" s="33"/>
      <c r="Q241" s="33" t="s">
        <v>233</v>
      </c>
      <c r="R241" s="14"/>
      <c r="S241" s="14"/>
      <c r="T241" s="22"/>
    </row>
    <row r="242" spans="1:20" x14ac:dyDescent="0.3">
      <c r="A242" s="107">
        <v>2</v>
      </c>
      <c r="B242" s="101" t="str">
        <f>$A$3</f>
        <v>01</v>
      </c>
      <c r="C242" s="101" t="str">
        <f>$A$4</f>
        <v>03</v>
      </c>
      <c r="D242" s="101" t="s">
        <v>232</v>
      </c>
      <c r="E242" s="101" t="s">
        <v>152</v>
      </c>
      <c r="F242" s="101">
        <v>2018</v>
      </c>
      <c r="G242" s="103"/>
      <c r="H242" s="100"/>
      <c r="I242" s="103" t="s">
        <v>45</v>
      </c>
      <c r="J242" s="102">
        <v>2018</v>
      </c>
      <c r="K242" s="102">
        <v>1</v>
      </c>
      <c r="L242" s="102" t="s">
        <v>42</v>
      </c>
      <c r="M242" s="104" t="s">
        <v>19</v>
      </c>
      <c r="N242" s="104" t="s">
        <v>19</v>
      </c>
      <c r="O242" s="102" t="s">
        <v>351</v>
      </c>
      <c r="P242" s="105"/>
      <c r="Q242" s="105" t="s">
        <v>233</v>
      </c>
      <c r="R242" s="102"/>
      <c r="S242" s="102"/>
      <c r="T242" s="100"/>
    </row>
    <row r="243" spans="1:20" s="5" customFormat="1" x14ac:dyDescent="0.3">
      <c r="A243" s="84">
        <v>3</v>
      </c>
      <c r="B243" s="36" t="str">
        <f>$A$3</f>
        <v>01</v>
      </c>
      <c r="C243" s="36" t="str">
        <f>$A$4</f>
        <v>03</v>
      </c>
      <c r="D243" s="36" t="s">
        <v>232</v>
      </c>
      <c r="E243" s="36" t="s">
        <v>153</v>
      </c>
      <c r="F243" s="36">
        <v>2015</v>
      </c>
      <c r="G243" s="67" t="s">
        <v>450</v>
      </c>
      <c r="H243" s="72"/>
      <c r="I243" s="13" t="s">
        <v>45</v>
      </c>
      <c r="J243" s="23">
        <v>2017</v>
      </c>
      <c r="K243" s="23">
        <v>1</v>
      </c>
      <c r="L243" s="23" t="s">
        <v>19</v>
      </c>
      <c r="M243" s="68" t="s">
        <v>19</v>
      </c>
      <c r="N243" s="68" t="s">
        <v>42</v>
      </c>
      <c r="O243" s="23" t="s">
        <v>446</v>
      </c>
      <c r="P243" s="35"/>
      <c r="Q243" s="35" t="s">
        <v>233</v>
      </c>
      <c r="R243" s="23"/>
      <c r="S243" s="23"/>
      <c r="T243" s="72"/>
    </row>
    <row r="244" spans="1:20" s="5" customFormat="1" x14ac:dyDescent="0.3">
      <c r="A244" s="84">
        <v>4</v>
      </c>
      <c r="B244" s="36" t="str">
        <f>$A$3</f>
        <v>01</v>
      </c>
      <c r="C244" s="36" t="str">
        <f>$A$4</f>
        <v>03</v>
      </c>
      <c r="D244" s="36" t="s">
        <v>232</v>
      </c>
      <c r="E244" s="36" t="s">
        <v>154</v>
      </c>
      <c r="F244" s="36">
        <v>2025</v>
      </c>
      <c r="G244" s="67" t="s">
        <v>447</v>
      </c>
      <c r="H244" s="72"/>
      <c r="I244" s="13" t="s">
        <v>45</v>
      </c>
      <c r="J244" s="23">
        <v>2025</v>
      </c>
      <c r="K244" s="23">
        <v>1</v>
      </c>
      <c r="L244" s="14" t="s">
        <v>42</v>
      </c>
      <c r="M244" s="15" t="s">
        <v>19</v>
      </c>
      <c r="N244" s="15" t="s">
        <v>19</v>
      </c>
      <c r="O244" s="23" t="s">
        <v>446</v>
      </c>
      <c r="P244" s="35"/>
      <c r="Q244" s="35" t="s">
        <v>233</v>
      </c>
      <c r="R244" s="23"/>
      <c r="S244" s="23"/>
      <c r="T244" s="72"/>
    </row>
    <row r="245" spans="1:20" s="5" customFormat="1" x14ac:dyDescent="0.3">
      <c r="A245" s="84">
        <v>5</v>
      </c>
      <c r="B245" s="36" t="str">
        <f>$A$3</f>
        <v>01</v>
      </c>
      <c r="C245" s="36" t="str">
        <f>$A$4</f>
        <v>03</v>
      </c>
      <c r="D245" s="36" t="s">
        <v>232</v>
      </c>
      <c r="E245" s="36" t="s">
        <v>155</v>
      </c>
      <c r="F245" s="36">
        <v>2025</v>
      </c>
      <c r="G245" s="67" t="s">
        <v>447</v>
      </c>
      <c r="H245" s="72" t="s">
        <v>449</v>
      </c>
      <c r="I245" s="13" t="s">
        <v>45</v>
      </c>
      <c r="J245" s="23">
        <v>2025</v>
      </c>
      <c r="K245" s="23">
        <v>1</v>
      </c>
      <c r="L245" s="14" t="s">
        <v>42</v>
      </c>
      <c r="M245" s="15" t="s">
        <v>19</v>
      </c>
      <c r="N245" s="15" t="s">
        <v>19</v>
      </c>
      <c r="O245" s="23" t="s">
        <v>448</v>
      </c>
      <c r="P245" s="35"/>
      <c r="Q245" s="35" t="s">
        <v>233</v>
      </c>
      <c r="R245" s="23"/>
      <c r="S245" s="23"/>
      <c r="T245" s="72"/>
    </row>
    <row r="246" spans="1:20" s="5" customFormat="1" x14ac:dyDescent="0.3">
      <c r="A246" s="72"/>
      <c r="B246" s="36"/>
      <c r="C246" s="36"/>
      <c r="D246" s="36"/>
      <c r="E246" s="36"/>
      <c r="F246" s="36"/>
      <c r="G246" s="23"/>
      <c r="H246" s="67"/>
      <c r="I246" s="67"/>
      <c r="J246" s="23"/>
      <c r="K246" s="23"/>
      <c r="L246" s="23"/>
      <c r="M246" s="68"/>
      <c r="N246" s="68"/>
      <c r="O246" s="23"/>
      <c r="P246" s="35"/>
      <c r="Q246" s="35"/>
      <c r="R246" s="23"/>
      <c r="S246" s="23"/>
      <c r="T246" s="72"/>
    </row>
    <row r="247" spans="1:20" x14ac:dyDescent="0.3">
      <c r="A247" s="73" t="s">
        <v>235</v>
      </c>
      <c r="B247" s="186" t="s">
        <v>236</v>
      </c>
      <c r="C247" s="187"/>
      <c r="D247" s="187"/>
      <c r="E247" s="187"/>
      <c r="F247" s="187"/>
      <c r="G247" s="188"/>
      <c r="H247" s="44"/>
      <c r="I247" s="43"/>
      <c r="J247" s="45"/>
      <c r="K247" s="45"/>
      <c r="L247" s="45"/>
      <c r="M247" s="46"/>
      <c r="N247" s="46"/>
      <c r="O247" s="45"/>
      <c r="P247" s="47"/>
      <c r="Q247" s="47"/>
      <c r="R247" s="58"/>
      <c r="S247" s="58"/>
      <c r="T247" s="76"/>
    </row>
    <row r="248" spans="1:20" x14ac:dyDescent="0.3">
      <c r="A248" s="11">
        <v>1</v>
      </c>
      <c r="B248" s="16" t="str">
        <f>$A$3</f>
        <v>01</v>
      </c>
      <c r="C248" s="16" t="str">
        <f>$A$4</f>
        <v>03</v>
      </c>
      <c r="D248" s="36" t="s">
        <v>235</v>
      </c>
      <c r="E248" s="16" t="s">
        <v>151</v>
      </c>
      <c r="F248" s="16">
        <v>2015</v>
      </c>
      <c r="G248" s="13"/>
      <c r="H248" s="22"/>
      <c r="I248" s="13" t="s">
        <v>45</v>
      </c>
      <c r="J248" s="14">
        <v>2015</v>
      </c>
      <c r="K248" s="14">
        <v>1</v>
      </c>
      <c r="L248" s="14" t="s">
        <v>42</v>
      </c>
      <c r="M248" s="15" t="s">
        <v>19</v>
      </c>
      <c r="N248" s="15" t="s">
        <v>19</v>
      </c>
      <c r="O248" s="14" t="s">
        <v>92</v>
      </c>
      <c r="P248" s="33"/>
      <c r="Q248" s="33" t="s">
        <v>237</v>
      </c>
      <c r="R248" s="14"/>
      <c r="S248" s="14"/>
      <c r="T248" s="22"/>
    </row>
    <row r="249" spans="1:20" x14ac:dyDescent="0.3">
      <c r="A249" s="22"/>
      <c r="B249" s="16"/>
      <c r="C249" s="16"/>
      <c r="D249" s="16"/>
      <c r="E249" s="16"/>
      <c r="F249" s="16"/>
      <c r="G249" s="14"/>
      <c r="H249" s="13"/>
      <c r="I249" s="13"/>
      <c r="J249" s="14"/>
      <c r="K249" s="14"/>
      <c r="L249" s="14"/>
      <c r="M249" s="15"/>
      <c r="N249" s="15"/>
      <c r="O249" s="14"/>
      <c r="P249" s="33"/>
      <c r="Q249" s="33"/>
      <c r="R249" s="14"/>
      <c r="S249" s="14"/>
      <c r="T249" s="22"/>
    </row>
    <row r="250" spans="1:20" x14ac:dyDescent="0.3">
      <c r="A250" s="73" t="s">
        <v>312</v>
      </c>
      <c r="B250" s="186" t="s">
        <v>313</v>
      </c>
      <c r="C250" s="187"/>
      <c r="D250" s="187"/>
      <c r="E250" s="187"/>
      <c r="F250" s="187"/>
      <c r="G250" s="188"/>
      <c r="H250" s="44"/>
      <c r="I250" s="43"/>
      <c r="J250" s="45"/>
      <c r="K250" s="45"/>
      <c r="L250" s="45"/>
      <c r="M250" s="46"/>
      <c r="N250" s="46"/>
      <c r="O250" s="45"/>
      <c r="P250" s="47"/>
      <c r="Q250" s="47"/>
      <c r="R250" s="58"/>
      <c r="S250" s="58"/>
      <c r="T250" s="76"/>
    </row>
    <row r="251" spans="1:20" x14ac:dyDescent="0.3">
      <c r="A251" s="11">
        <v>1</v>
      </c>
      <c r="B251" s="16" t="str">
        <f>$A$3</f>
        <v>01</v>
      </c>
      <c r="C251" s="16" t="str">
        <f>$A$4</f>
        <v>03</v>
      </c>
      <c r="D251" s="36" t="s">
        <v>312</v>
      </c>
      <c r="E251" s="16" t="s">
        <v>151</v>
      </c>
      <c r="F251" s="16">
        <v>2021</v>
      </c>
      <c r="G251" s="13" t="s">
        <v>314</v>
      </c>
      <c r="H251" s="22" t="s">
        <v>315</v>
      </c>
      <c r="I251" s="13" t="s">
        <v>45</v>
      </c>
      <c r="J251" s="14">
        <v>2021</v>
      </c>
      <c r="K251" s="14">
        <v>1</v>
      </c>
      <c r="L251" s="14"/>
      <c r="M251" s="15"/>
      <c r="N251" s="15"/>
      <c r="O251" s="14" t="s">
        <v>316</v>
      </c>
      <c r="P251" s="33"/>
      <c r="Q251" s="33" t="s">
        <v>317</v>
      </c>
      <c r="R251" s="14"/>
      <c r="S251" s="14"/>
      <c r="T251" s="22"/>
    </row>
    <row r="252" spans="1:20" x14ac:dyDescent="0.3">
      <c r="A252" s="11">
        <v>2</v>
      </c>
      <c r="B252" s="16" t="str">
        <f>$A$3</f>
        <v>01</v>
      </c>
      <c r="C252" s="16" t="str">
        <f>$A$4</f>
        <v>03</v>
      </c>
      <c r="D252" s="36" t="s">
        <v>312</v>
      </c>
      <c r="E252" s="16" t="s">
        <v>152</v>
      </c>
      <c r="F252" s="16">
        <v>2021</v>
      </c>
      <c r="G252" s="13" t="s">
        <v>318</v>
      </c>
      <c r="H252" s="22" t="s">
        <v>319</v>
      </c>
      <c r="I252" s="13" t="s">
        <v>45</v>
      </c>
      <c r="J252" s="14">
        <v>2021</v>
      </c>
      <c r="K252" s="14">
        <v>1</v>
      </c>
      <c r="L252" s="14"/>
      <c r="M252" s="15"/>
      <c r="N252" s="15"/>
      <c r="O252" s="14" t="s">
        <v>316</v>
      </c>
      <c r="P252" s="33"/>
      <c r="Q252" s="33" t="s">
        <v>320</v>
      </c>
      <c r="R252" s="14"/>
      <c r="S252" s="14"/>
      <c r="T252" s="22"/>
    </row>
    <row r="253" spans="1:20" x14ac:dyDescent="0.3">
      <c r="A253" s="11">
        <v>3</v>
      </c>
      <c r="B253" s="16" t="str">
        <f>$A$3</f>
        <v>01</v>
      </c>
      <c r="C253" s="16" t="str">
        <f>$A$4</f>
        <v>03</v>
      </c>
      <c r="D253" s="36" t="s">
        <v>312</v>
      </c>
      <c r="E253" s="16" t="s">
        <v>153</v>
      </c>
      <c r="F253" s="16">
        <v>2021</v>
      </c>
      <c r="G253" s="13" t="s">
        <v>323</v>
      </c>
      <c r="H253" s="96" t="s">
        <v>322</v>
      </c>
      <c r="I253" s="13" t="s">
        <v>45</v>
      </c>
      <c r="J253" s="14">
        <v>2021</v>
      </c>
      <c r="K253" s="14">
        <v>1</v>
      </c>
      <c r="L253" s="14"/>
      <c r="M253" s="15"/>
      <c r="N253" s="15"/>
      <c r="O253" s="14" t="s">
        <v>316</v>
      </c>
      <c r="P253" s="33"/>
      <c r="Q253" s="33" t="s">
        <v>321</v>
      </c>
      <c r="R253" s="14"/>
      <c r="S253" s="14"/>
      <c r="T253" s="22"/>
    </row>
    <row r="254" spans="1:20" x14ac:dyDescent="0.3">
      <c r="A254" s="24"/>
      <c r="B254" s="32"/>
      <c r="C254" s="32"/>
      <c r="D254" s="32"/>
      <c r="E254" s="32"/>
      <c r="F254" s="32"/>
      <c r="G254" s="27"/>
      <c r="H254" s="28"/>
      <c r="I254" s="27"/>
      <c r="J254" s="29"/>
      <c r="K254" s="29"/>
      <c r="L254" s="29"/>
      <c r="M254" s="30"/>
      <c r="N254" s="30"/>
      <c r="O254" s="29"/>
      <c r="P254" s="34"/>
      <c r="Q254" s="34"/>
      <c r="R254" s="29"/>
      <c r="S254" s="29"/>
      <c r="T254" s="28"/>
    </row>
  </sheetData>
  <mergeCells count="34">
    <mergeCell ref="B240:F240"/>
    <mergeCell ref="B247:G247"/>
    <mergeCell ref="B250:G250"/>
    <mergeCell ref="B237:F237"/>
    <mergeCell ref="B106:F106"/>
    <mergeCell ref="B157:G157"/>
    <mergeCell ref="B219:G219"/>
    <mergeCell ref="B171:G171"/>
    <mergeCell ref="A1:V1"/>
    <mergeCell ref="A12:A13"/>
    <mergeCell ref="G12:G13"/>
    <mergeCell ref="H12:H13"/>
    <mergeCell ref="I12:I13"/>
    <mergeCell ref="J12:J13"/>
    <mergeCell ref="K12:K13"/>
    <mergeCell ref="P12:P13"/>
    <mergeCell ref="O12:O13"/>
    <mergeCell ref="R12:R13"/>
    <mergeCell ref="B12:F13"/>
    <mergeCell ref="L12:N12"/>
    <mergeCell ref="Q12:Q13"/>
    <mergeCell ref="S12:T12"/>
    <mergeCell ref="B14:F14"/>
    <mergeCell ref="B58:F58"/>
    <mergeCell ref="B66:F66"/>
    <mergeCell ref="B97:F97"/>
    <mergeCell ref="B227:F227"/>
    <mergeCell ref="B176:F176"/>
    <mergeCell ref="B126:F126"/>
    <mergeCell ref="B185:F185"/>
    <mergeCell ref="B216:F216"/>
    <mergeCell ref="B140:G140"/>
    <mergeCell ref="B101:G101"/>
    <mergeCell ref="B114:G114"/>
  </mergeCells>
  <pageMargins left="0.40625" right="0.1875" top="0.75" bottom="0.75" header="0.3" footer="0.3"/>
  <pageSetup paperSize="14" scale="85" orientation="landscape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03 ELEKTRONIK</vt:lpstr>
      <vt:lpstr>'03 ELEKTRONIK'!Print_Titles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Vidatra</dc:creator>
  <cp:lastModifiedBy>Luthfianda Salsabila</cp:lastModifiedBy>
  <cp:lastPrinted>2024-12-05T07:00:48Z</cp:lastPrinted>
  <dcterms:created xsi:type="dcterms:W3CDTF">2018-09-16T23:16:03Z</dcterms:created>
  <dcterms:modified xsi:type="dcterms:W3CDTF">2026-09-08T05:57:13Z</dcterms:modified>
</cp:coreProperties>
</file>